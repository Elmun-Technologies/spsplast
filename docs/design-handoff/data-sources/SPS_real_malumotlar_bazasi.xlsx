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'qing" sheetId="1" state="visible" r:id="rId3"/>
    <sheet name="1 Archive qoliplar" sheetId="2" state="visible" r:id="rId4"/>
    <sheet name="2 Kitobcha (menejer)" sheetId="3" state="visible" r:id="rId5"/>
    <sheet name="3 Fasad qoliplari" sheetId="4" state="visible" r:id="rId6"/>
    <sheet name="4 Solishtirish" sheetId="5" state="visible" r:id="rId7"/>
    <sheet name="5 Surat-model" sheetId="6" state="visible" r:id="rId8"/>
    <sheet name="6 SPS PLAST termopanel" sheetId="7" state="visible" r:id="rId9"/>
  </sheets>
  <definedNames>
    <definedName function="false" hidden="true" localSheetId="1" name="_xlnm._FilterDatabase" vbProcedure="false">'1 Archive qoliplar'!$A$3:$U$114</definedName>
    <definedName function="false" hidden="true" localSheetId="2" name="_xlnm._FilterDatabase" vbProcedure="false">'2 Kitobcha (menejer)'!$A$3:$L$111</definedName>
    <definedName function="false" hidden="true" localSheetId="3" name="_xlnm._FilterDatabase" vbProcedure="false">'3 Fasad qoliplari'!$A$3:$J$83</definedName>
    <definedName function="false" hidden="true" localSheetId="4" name="_xlnm._FilterDatabase" vbProcedure="false">'4 Solishtirish'!$A$3:$K$43</definedName>
    <definedName function="false" hidden="true" localSheetId="5" name="_xlnm._FilterDatabase" vbProcedure="false">'5 Surat-model'!$A$3:$E$267</definedName>
    <definedName function="false" hidden="true" localSheetId="6" name="_xlnm._FilterDatabase" vbProcedure="false">'6 SPS PLAST termopanel'!$A$3:$E$79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<sst xmlns="http://schemas.openxmlformats.org/spreadsheetml/2006/main" count="3347" uniqueCount="1234">
  <si>
    <t xml:space="preserve">SPS — real ma'lumotlar bazasi (katalog uchun)</t>
  </si>
  <si>
    <t xml:space="preserve">Manbalar</t>
  </si>
  <si>
    <t xml:space="preserve">1) Archive.zip — SPS ning eski katalogi (ruscha): 68 ta qolip, har biri uchun o'lcham, 1 m² ga dona, qolip vazni, 1 m² jami vazn, material; fasad termopanel katalogi.</t>
  </si>
  <si>
    <t xml:space="preserve">2) sps_info.zip — menejer bilan birga yozilgan qo'lyozma: kitobcha №1–№108 (dona, kg, chuqurlik, nomlar) va fasad qoliplari varaqlari (DSC raqami bo'yicha nom, o'lcham, ABS / PP vazni).</t>
  </si>
  <si>
    <t xml:space="preserve">3) Qolip suratlari — 264 ta fonsiz surat (DSC03147–DSC03470); modelga bog'lanishi men tomondan taxmin qilingan.</t>
  </si>
  <si>
    <t xml:space="preserve">Varaqlar</t>
  </si>
  <si>
    <t xml:space="preserve">1 Archive qoliplar — eski katalogdagi 68 ta model, har bir qolip (A / B / V) alohida qatorda. Vazn hisobi formula bilan tekshirilgan.</t>
  </si>
  <si>
    <t xml:space="preserve">2 Kitobcha (menejer) — №1–№108, qo'lyozma izohlar bilan.</t>
  </si>
  <si>
    <t xml:space="preserve">3 Fasad qoliplari — menejer varaqlaridagi nomlar, o'lchamlar, ABS / PP vaznlari.</t>
  </si>
  <si>
    <t xml:space="preserve">4 Solishtirish — ikkala manbada bor modellar: eski katalog va menejer raqamlari yonma-yon, farqi bilan.</t>
  </si>
  <si>
    <t xml:space="preserve">5 Surat-model — har bir suratning (DSC) qaysi modelga tegishli ekani va ishonch darajasi.</t>
  </si>
  <si>
    <t xml:space="preserve">6 SPS PLAST termopanel — eski fasad katalogidagi 76 ta mahsulot (kod, nom, o'lcham).</t>
  </si>
  <si>
    <t xml:space="preserve">Ranglar</t>
  </si>
  <si>
    <t xml:space="preserve">Sariq — aniq o'qilmagan yoki bir-biriga mos kelmaydigan joy: menejer bilan tekshirish kerak.</t>
  </si>
  <si>
    <t xml:space="preserve">Kulrang — ma'lumot yo'q (menejer chiziqcha qo'ygan, izoh yozilmagan yoki bet yuborilmagan).</t>
  </si>
  <si>
    <t xml:space="preserve">Qizil — hisob mos kelmaydi yoki farq katta.</t>
  </si>
  <si>
    <t xml:space="preserve">Egasining javoblari (2026-10-05)</t>
  </si>
  <si>
    <t xml:space="preserve">Chiziqcha qo'yilgan mahsulotlar (№3, 12, 14, 44, 79, 87, 97) hozir yo'q — katalogga kirmaydi. Qora marker belgilari hisobga olinmaydi.</t>
  </si>
  <si>
    <t xml:space="preserve">Fasad qoliplari: ABS — oq, polipropilen — qora; xarakteristikalari bir xil, alohida ko'rsatish shart emas. Fasad bo'yicha tafsilotlar eski katalogdan (Archive) olinadi.</t>
  </si>
  <si>
    <t xml:space="preserve">Nomi topilmagan qoliplar hozircha katalogga kiritilmaydi. Aniq ma'lumotlarning ko'pi eski katalogda (Archive).</t>
  </si>
  <si>
    <t xml:space="preserve">Eslatma</t>
  </si>
  <si>
    <t xml:space="preserve">Hamma raqamlar manbada qanday yozilgan bo'lsa, shunday ko'chirilgan; o'zimdan raqam qo'shilmagan. "1 m² ga qolip soni" ustuni — ko'p katakli qoliplar uchun dona sonidan hisoblab chiqarilgan (formula tekshiruvi uchun).</t>
  </si>
  <si>
    <t xml:space="preserve">Ikkala manba farq qilgan joyda katalogga qaysi raqam kirishini siz hal qilasiz; hozircha kelishuv — menejer yozgani asosiy.</t>
  </si>
  <si>
    <t xml:space="preserve">Eski katalog (Archive.zip) — 68 ta model, qoliplar bo'yicha</t>
  </si>
  <si>
    <t xml:space="preserve">Manba: Archive.zip, eski katalog sahifalari ("Размеры и количество в 1м²", "Материал формы", "Общий вес 1м²"). Raqamlar katalogda yozilganidek.</t>
  </si>
  <si>
    <t xml:space="preserve">№ (sps_old)</t>
  </si>
  <si>
    <t xml:space="preserve">Model</t>
  </si>
  <si>
    <t xml:space="preserve">Sarlavhadagi o'lcham</t>
  </si>
  <si>
    <t xml:space="preserve">Bo'lim</t>
  </si>
  <si>
    <t xml:space="preserve">Qolip</t>
  </si>
  <si>
    <t xml:space="preserve">Shakli</t>
  </si>
  <si>
    <t xml:space="preserve">Uzunlik, mm</t>
  </si>
  <si>
    <t xml:space="preserve">Kenglik, mm</t>
  </si>
  <si>
    <t xml:space="preserve">Chuqurlik (balandlik), mm</t>
  </si>
  <si>
    <t xml:space="preserve">Katalogda yozilgan son, dona</t>
  </si>
  <si>
    <t xml:space="preserve">Qolipdagi katak soni</t>
  </si>
  <si>
    <t xml:space="preserve">1 m² ga qolip soni</t>
  </si>
  <si>
    <t xml:space="preserve">Bitta qolip vazni, g</t>
  </si>
  <si>
    <t xml:space="preserve">Shu qolip bo'yicha jami, g</t>
  </si>
  <si>
    <t xml:space="preserve">Material</t>
  </si>
  <si>
    <t xml:space="preserve">Katalogdagi jami vazn 1 m², g</t>
  </si>
  <si>
    <t xml:space="preserve">Hisoblangan jami, g</t>
  </si>
  <si>
    <t xml:space="preserve">Farq, g</t>
  </si>
  <si>
    <t xml:space="preserve">Hisob holati</t>
  </si>
  <si>
    <t xml:space="preserve">1 m² jami, kg</t>
  </si>
  <si>
    <t xml:space="preserve">Izoh</t>
  </si>
  <si>
    <t xml:space="preserve">Monako</t>
  </si>
  <si>
    <t xml:space="preserve">30×30</t>
  </si>
  <si>
    <t xml:space="preserve">Yakka kvadrat</t>
  </si>
  <si>
    <t xml:space="preserve">A</t>
  </si>
  <si>
    <t xml:space="preserve">kvadrat</t>
  </si>
  <si>
    <t xml:space="preserve">Polipropilen / ABS</t>
  </si>
  <si>
    <t xml:space="preserve">Ornament 30×30</t>
  </si>
  <si>
    <t xml:space="preserve">Yalta</t>
  </si>
  <si>
    <t xml:space="preserve">Tsvetok</t>
  </si>
  <si>
    <t xml:space="preserve">Magna</t>
  </si>
  <si>
    <t xml:space="preserve">Azara</t>
  </si>
  <si>
    <t xml:space="preserve">Parus 30×30</t>
  </si>
  <si>
    <t xml:space="preserve">Travertino</t>
  </si>
  <si>
    <t xml:space="preserve">Versache 1</t>
  </si>
  <si>
    <t xml:space="preserve">Kaliforniya</t>
  </si>
  <si>
    <t xml:space="preserve">Zanjir</t>
  </si>
  <si>
    <t xml:space="preserve">Polosa</t>
  </si>
  <si>
    <t xml:space="preserve">Kaliforniya G</t>
  </si>
  <si>
    <t xml:space="preserve">Setka</t>
  </si>
  <si>
    <t xml:space="preserve">Rio</t>
  </si>
  <si>
    <t xml:space="preserve">Viking</t>
  </si>
  <si>
    <t xml:space="preserve">Shashka</t>
  </si>
  <si>
    <t xml:space="preserve">Shersha</t>
  </si>
  <si>
    <t xml:space="preserve">Floriya</t>
  </si>
  <si>
    <t xml:space="preserve">Strelka</t>
  </si>
  <si>
    <t xml:space="preserve">Dubay 40×40</t>
  </si>
  <si>
    <t xml:space="preserve">40×40</t>
  </si>
  <si>
    <t xml:space="preserve">kvadrat, ko'p bo'lakli</t>
  </si>
  <si>
    <t xml:space="preserve">Uzor 4 gul</t>
  </si>
  <si>
    <t xml:space="preserve">kvadrat, 4 gul</t>
  </si>
  <si>
    <t xml:space="preserve">Kabanchik 10×10 (kitayskiy)</t>
  </si>
  <si>
    <t xml:space="preserve">10×10</t>
  </si>
  <si>
    <t xml:space="preserve">Yakka (4 katakli)</t>
  </si>
  <si>
    <t xml:space="preserve">4 katakli kvadrat</t>
  </si>
  <si>
    <t xml:space="preserve">Guruch</t>
  </si>
  <si>
    <t xml:space="preserve">20×20 ×4</t>
  </si>
  <si>
    <t xml:space="preserve">Asosiy + kichik kvadrat</t>
  </si>
  <si>
    <t xml:space="preserve">sakkiz qirra / burchagi kesilgan</t>
  </si>
  <si>
    <t xml:space="preserve">B</t>
  </si>
  <si>
    <t xml:space="preserve">kichik kvadrat (6 katakli)</t>
  </si>
  <si>
    <t xml:space="preserve">Bodom</t>
  </si>
  <si>
    <t xml:space="preserve">Astana</t>
  </si>
  <si>
    <t xml:space="preserve">30×30 ×4</t>
  </si>
  <si>
    <t xml:space="preserve">Sarlavhada 30×30, lekin o'lcham 200×200 va 25 dona deb yozilgan</t>
  </si>
  <si>
    <t xml:space="preserve">Yulduz</t>
  </si>
  <si>
    <t xml:space="preserve">Turkman guli</t>
  </si>
  <si>
    <t xml:space="preserve">O'lcham 298×298, lekin 25 dona deb yozilgan (30×30 uchun 11 bo'lishi kerak)</t>
  </si>
  <si>
    <t xml:space="preserve">Eksklyuziv</t>
  </si>
  <si>
    <t xml:space="preserve">Tomir</t>
  </si>
  <si>
    <t xml:space="preserve">20×20 ×2</t>
  </si>
  <si>
    <t xml:space="preserve">Mozaika</t>
  </si>
  <si>
    <t xml:space="preserve">Novvot</t>
  </si>
  <si>
    <t xml:space="preserve">Uzor 20×20</t>
  </si>
  <si>
    <t xml:space="preserve">Parket 20×20</t>
  </si>
  <si>
    <t xml:space="preserve">Vegas 1 (gladkiy)</t>
  </si>
  <si>
    <t xml:space="preserve">35×35</t>
  </si>
  <si>
    <t xml:space="preserve">Asosiy + 2 xil kichik kvadrat</t>
  </si>
  <si>
    <t xml:space="preserve">sakkiz qirra</t>
  </si>
  <si>
    <t xml:space="preserve">V</t>
  </si>
  <si>
    <t xml:space="preserve">Vegas 2 (shershaviy)</t>
  </si>
  <si>
    <t xml:space="preserve">Kabanchik 17×17 (shershaviy)</t>
  </si>
  <si>
    <t xml:space="preserve">17×17</t>
  </si>
  <si>
    <t xml:space="preserve">Parus 18×36</t>
  </si>
  <si>
    <t xml:space="preserve">18×36</t>
  </si>
  <si>
    <t xml:space="preserve">Asosiy + sherik</t>
  </si>
  <si>
    <t xml:space="preserve">to'rtburchak</t>
  </si>
  <si>
    <t xml:space="preserve">B qolip vazni va soni jami vaznga mos kelmaydi</t>
  </si>
  <si>
    <t xml:space="preserve">to'rtburchak (2 katakli)</t>
  </si>
  <si>
    <t xml:space="preserve">Gladkiy 18×36</t>
  </si>
  <si>
    <t xml:space="preserve">Dojdik 18×36</t>
  </si>
  <si>
    <t xml:space="preserve">Ornament 18×36</t>
  </si>
  <si>
    <t xml:space="preserve">Buxoro</t>
  </si>
  <si>
    <t xml:space="preserve">—</t>
  </si>
  <si>
    <t xml:space="preserve">Figurali juft</t>
  </si>
  <si>
    <t xml:space="preserve">xoch</t>
  </si>
  <si>
    <t xml:space="preserve">cho'ziq figurali</t>
  </si>
  <si>
    <t xml:space="preserve">Afina</t>
  </si>
  <si>
    <t xml:space="preserve">uchburchak</t>
  </si>
  <si>
    <t xml:space="preserve">strelka</t>
  </si>
  <si>
    <t xml:space="preserve">Palma</t>
  </si>
  <si>
    <t xml:space="preserve">yelpig'ich, ikki yarim (8,5 + 8,5)</t>
  </si>
  <si>
    <t xml:space="preserve">A qolip ikki yarimdan iborat (8,5 + 8,5 dona)</t>
  </si>
  <si>
    <t xml:space="preserve">kichik yelpig'ich</t>
  </si>
  <si>
    <t xml:space="preserve">Azaliya 1</t>
  </si>
  <si>
    <t xml:space="preserve">pog'onali xoch-kvadrat</t>
  </si>
  <si>
    <t xml:space="preserve">to'rt yaproqli</t>
  </si>
  <si>
    <t xml:space="preserve">Azaliya 2</t>
  </si>
  <si>
    <t xml:space="preserve">Ona-bola 1</t>
  </si>
  <si>
    <t xml:space="preserve">pog'onali xoch</t>
  </si>
  <si>
    <t xml:space="preserve">Ona-bola 2</t>
  </si>
  <si>
    <t xml:space="preserve">Aziya</t>
  </si>
  <si>
    <t xml:space="preserve">ko'rshapalak shakli</t>
  </si>
  <si>
    <t xml:space="preserve">Aziya 1</t>
  </si>
  <si>
    <t xml:space="preserve">burchagi pog'onali kvadrat</t>
  </si>
  <si>
    <t xml:space="preserve">Aziya 2</t>
  </si>
  <si>
    <t xml:space="preserve">Figurali uchlik</t>
  </si>
  <si>
    <t xml:space="preserve">Uch qolip birga teriladi</t>
  </si>
  <si>
    <t xml:space="preserve">gulsimon</t>
  </si>
  <si>
    <t xml:space="preserve">Aziya 3</t>
  </si>
  <si>
    <t xml:space="preserve">katta figurali</t>
  </si>
  <si>
    <t xml:space="preserve">yulduz</t>
  </si>
  <si>
    <t xml:space="preserve">Royal 1</t>
  </si>
  <si>
    <t xml:space="preserve">beli ingichka figurali</t>
  </si>
  <si>
    <t xml:space="preserve">arka (2 katakli)</t>
  </si>
  <si>
    <t xml:space="preserve">Royal 2</t>
  </si>
  <si>
    <t xml:space="preserve">xoch-doira</t>
  </si>
  <si>
    <t xml:space="preserve">V qolip (kichik kvadrat) rasmda yo'q, faqat sxemada; vazn hisobi mos kelmaydi</t>
  </si>
  <si>
    <t xml:space="preserve">kichik kvadrat</t>
  </si>
  <si>
    <t xml:space="preserve">Farovon</t>
  </si>
  <si>
    <t xml:space="preserve">figurali</t>
  </si>
  <si>
    <t xml:space="preserve">B qolip o'lchami 53×53 deb yozilgan — rasmda katta "H" shakl (xato bo'lishi mumkin)</t>
  </si>
  <si>
    <t xml:space="preserve">"H" shakl</t>
  </si>
  <si>
    <t xml:space="preserve">Ventilyator</t>
  </si>
  <si>
    <t xml:space="preserve">tor egri</t>
  </si>
  <si>
    <t xml:space="preserve">keng egri</t>
  </si>
  <si>
    <t xml:space="preserve">Vindovs</t>
  </si>
  <si>
    <t xml:space="preserve">V qolip vazni yozilmagan; jami mos kelmaydi</t>
  </si>
  <si>
    <t xml:space="preserve">3D Parus</t>
  </si>
  <si>
    <t xml:space="preserve">Jami vazn qismlar yig'indisidan kam</t>
  </si>
  <si>
    <t xml:space="preserve">strelka (2 katakli)</t>
  </si>
  <si>
    <t xml:space="preserve">4D (shershaviy)</t>
  </si>
  <si>
    <t xml:space="preserve">cho'ziq olti qirra (2 katakli)</t>
  </si>
  <si>
    <t xml:space="preserve">Dubay aylana (okrujnost)</t>
  </si>
  <si>
    <t xml:space="preserve">To'rt qolipli</t>
  </si>
  <si>
    <t xml:space="preserve">trapetsiya (2 katakli)</t>
  </si>
  <si>
    <t xml:space="preserve">Yana ikki o'lcham yozilgan: 83×83×30 va 100×100×30 — qaysi qolipga tegishli ekani noma'lum</t>
  </si>
  <si>
    <t xml:space="preserve">Rokki</t>
  </si>
  <si>
    <t xml:space="preserve">Yakka figurali</t>
  </si>
  <si>
    <t xml:space="preserve">Bumerang</t>
  </si>
  <si>
    <t xml:space="preserve">burchak (V) shakl</t>
  </si>
  <si>
    <t xml:space="preserve">Rombik eski (stariy)</t>
  </si>
  <si>
    <t xml:space="preserve">romb</t>
  </si>
  <si>
    <t xml:space="preserve">Rombik yangi (noviy)</t>
  </si>
  <si>
    <t xml:space="preserve">Dubay toshli (kamenniy)</t>
  </si>
  <si>
    <t xml:space="preserve">Yakka (3 katakli)</t>
  </si>
  <si>
    <t xml:space="preserve">3 katakli: 120×120, 180×180, 90×90 (katalogda shunday)</t>
  </si>
  <si>
    <t xml:space="preserve">Uch katak kvadrat qilib yozilgan</t>
  </si>
  <si>
    <t xml:space="preserve">Dubay yaltiroq (glyanets)</t>
  </si>
  <si>
    <t xml:space="preserve">Dubay g'adir-budur (shershaviy)</t>
  </si>
  <si>
    <t xml:space="preserve">Kitobcha №1–№108 — menejer qo'lyozmasi</t>
  </si>
  <si>
    <t xml:space="preserve">Manba: sps_info.zip, kitobcha betlari (3–30). Ko'k ruchka bilan yozilgan izohlar ko'chirilgan; (?) — aniq o'qilmagan.</t>
  </si>
  <si>
    <t xml:space="preserve">№</t>
  </si>
  <si>
    <t xml:space="preserve">Bet</t>
  </si>
  <si>
    <t xml:space="preserve">Bosma nomi</t>
  </si>
  <si>
    <t xml:space="preserve">Qo'lda yozilgan nom</t>
  </si>
  <si>
    <t xml:space="preserve">Bosma o'lcham, sm</t>
  </si>
  <si>
    <t xml:space="preserve">Chuqurlik, sm</t>
  </si>
  <si>
    <t xml:space="preserve">Qoliplar</t>
  </si>
  <si>
    <t xml:space="preserve">1 m² ga dona (qoliplar bo'yicha)</t>
  </si>
  <si>
    <t xml:space="preserve">1 m² ga kg</t>
  </si>
  <si>
    <t xml:space="preserve">Sheriklik izohi</t>
  </si>
  <si>
    <t xml:space="preserve">Boshqa izoh</t>
  </si>
  <si>
    <t xml:space="preserve">Holat</t>
  </si>
  <si>
    <t xml:space="preserve">(nomsiz)</t>
  </si>
  <si>
    <t xml:space="preserve">Uzor</t>
  </si>
  <si>
    <t xml:space="preserve">50×25</t>
  </si>
  <si>
    <t xml:space="preserve">1 qolip</t>
  </si>
  <si>
    <t xml:space="preserve">8</t>
  </si>
  <si>
    <t xml:space="preserve">Nomi egasi tomonidan tasdiqlandi</t>
  </si>
  <si>
    <t xml:space="preserve">aniq</t>
  </si>
  <si>
    <t xml:space="preserve">Polasa</t>
  </si>
  <si>
    <t xml:space="preserve">11</t>
  </si>
  <si>
    <t xml:space="preserve">hozir yo'q — katalogga kirmaydi</t>
  </si>
  <si>
    <t xml:space="preserve">1 qolip (4 gul)</t>
  </si>
  <si>
    <t xml:space="preserve">6,25</t>
  </si>
  <si>
    <t xml:space="preserve">Kabanchik</t>
  </si>
  <si>
    <t xml:space="preserve">15×15 / 5×5</t>
  </si>
  <si>
    <t xml:space="preserve">2 katakli + kubik (6 katakli)</t>
  </si>
  <si>
    <t xml:space="preserve">sherik bilan 40; sheriksiz 44</t>
  </si>
  <si>
    <t xml:space="preserve">Sherik bilan 40 dona = 5,9 kg; sheriksiz 44 dona = 5,2 kg</t>
  </si>
  <si>
    <t xml:space="preserve">Mumtoz</t>
  </si>
  <si>
    <t xml:space="preserve">2 katakli + cho'ziq sakkiz qirra</t>
  </si>
  <si>
    <t xml:space="preserve">11 + 11</t>
  </si>
  <si>
    <t xml:space="preserve">Juft</t>
  </si>
  <si>
    <t xml:space="preserve">Florensiya</t>
  </si>
  <si>
    <t xml:space="preserve">20×20</t>
  </si>
  <si>
    <t xml:space="preserve">1 qolip (sakkiz qirra)</t>
  </si>
  <si>
    <t xml:space="preserve">25</t>
  </si>
  <si>
    <t xml:space="preserve">Sherigi yo'q — o'zi alohida teriladi</t>
  </si>
  <si>
    <t xml:space="preserve">Egasi tomonidan tasdiqlandi</t>
  </si>
  <si>
    <t xml:space="preserve">Sultan 2</t>
  </si>
  <si>
    <t xml:space="preserve">asosiy + kubik (6 katakli)</t>
  </si>
  <si>
    <t xml:space="preserve">25 + 6,25</t>
  </si>
  <si>
    <t xml:space="preserve">Sultan</t>
  </si>
  <si>
    <t xml:space="preserve">25 + 12,5</t>
  </si>
  <si>
    <t xml:space="preserve">Kobanchik</t>
  </si>
  <si>
    <t xml:space="preserve">kvadrat + kubik (6 katakli)</t>
  </si>
  <si>
    <t xml:space="preserve">23 + 23</t>
  </si>
  <si>
    <t xml:space="preserve">Alohida terilsa 25 ta</t>
  </si>
  <si>
    <t xml:space="preserve">Parket</t>
  </si>
  <si>
    <t xml:space="preserve">Dubay</t>
  </si>
  <si>
    <t xml:space="preserve">42×12 (qo'lda)</t>
  </si>
  <si>
    <t xml:space="preserve">3 katakli</t>
  </si>
  <si>
    <t xml:space="preserve">21 qolip</t>
  </si>
  <si>
    <t xml:space="preserve">"42 uzunligi, 12 eni"</t>
  </si>
  <si>
    <t xml:space="preserve">katta kvadrat + kichik kvadrat</t>
  </si>
  <si>
    <t xml:space="preserve">National</t>
  </si>
  <si>
    <t xml:space="preserve">30×30 / 10×30 / 10×10</t>
  </si>
  <si>
    <t xml:space="preserve">3 qolip</t>
  </si>
  <si>
    <t xml:space="preserve">6 + 13 + 7</t>
  </si>
  <si>
    <t xml:space="preserve">12×36 / 4 o'chirilgan → 15×60 (qo'lda)</t>
  </si>
  <si>
    <t xml:space="preserve">5,5 (?)</t>
  </si>
  <si>
    <t xml:space="preserve">Egasi: ma'lumoti eski katalogda bor — lekin eski katalogda faqat Parket 20×20 ×2 bor; aniqlashtirish kerak</t>
  </si>
  <si>
    <t xml:space="preserve">aniqlashtirish kerak</t>
  </si>
  <si>
    <t xml:space="preserve">7–8-betlar rasmi yuborilmagan</t>
  </si>
  <si>
    <t xml:space="preserve">bet yuborilmagan</t>
  </si>
  <si>
    <t xml:space="preserve">kubik (6 katakli) + kvadrat</t>
  </si>
  <si>
    <t xml:space="preserve">40 + 40</t>
  </si>
  <si>
    <t xml:space="preserve">Vetnam</t>
  </si>
  <si>
    <t xml:space="preserve">17,5×17,5 / 5×5</t>
  </si>
  <si>
    <t xml:space="preserve">sakkiz qirra + kubik (6 katakli)</t>
  </si>
  <si>
    <t xml:space="preserve">33 + 33</t>
  </si>
  <si>
    <t xml:space="preserve">kubik (6 katakli) + 2 katakli</t>
  </si>
  <si>
    <t xml:space="preserve">Parus</t>
  </si>
  <si>
    <t xml:space="preserve">36×18 / 18×9</t>
  </si>
  <si>
    <t xml:space="preserve">to'rtburchak + 2 katakli</t>
  </si>
  <si>
    <t xml:space="preserve">13,5 + 13,5</t>
  </si>
  <si>
    <t xml:space="preserve">3D</t>
  </si>
  <si>
    <t xml:space="preserve">kvadrat + strelka</t>
  </si>
  <si>
    <t xml:space="preserve">6,5 + 13</t>
  </si>
  <si>
    <t xml:space="preserve">4D</t>
  </si>
  <si>
    <t xml:space="preserve">17,5×17,5</t>
  </si>
  <si>
    <t xml:space="preserve">kvadrat + olti qirra</t>
  </si>
  <si>
    <t xml:space="preserve">8 + 32</t>
  </si>
  <si>
    <t xml:space="preserve">Vegas</t>
  </si>
  <si>
    <t xml:space="preserve">35×35 / 8×8 / 5×5</t>
  </si>
  <si>
    <t xml:space="preserve">sakkiz qirra + 2 xil kubik</t>
  </si>
  <si>
    <t xml:space="preserve">8,2 + 4,2 + 4,2</t>
  </si>
  <si>
    <t xml:space="preserve">Safir</t>
  </si>
  <si>
    <t xml:space="preserve">14×14 / 5×5</t>
  </si>
  <si>
    <t xml:space="preserve">qo'shaloq sakkiz qirra + kubik</t>
  </si>
  <si>
    <t xml:space="preserve">49 + 49</t>
  </si>
  <si>
    <t xml:space="preserve">Dubay shershavoe</t>
  </si>
  <si>
    <t xml:space="preserve">3 katakli (+ 2 ta trapetsiya qolip chiziq bilan ajratilgan)</t>
  </si>
  <si>
    <t xml:space="preserve">21</t>
  </si>
  <si>
    <t xml:space="preserve">2 katakli trapetsiya</t>
  </si>
  <si>
    <t xml:space="preserve">45</t>
  </si>
  <si>
    <t xml:space="preserve">Dubay gladkiy</t>
  </si>
  <si>
    <t xml:space="preserve">Faqat pastdagi 3 katakli qolip — trapetsiya qoliplar kirmaydi (tasdiqlandi)</t>
  </si>
  <si>
    <t xml:space="preserve">2 qolip</t>
  </si>
  <si>
    <t xml:space="preserve">15 + 15</t>
  </si>
  <si>
    <t xml:space="preserve">figurali + arka</t>
  </si>
  <si>
    <t xml:space="preserve">Oldingi raqamlar o'chirib tuzatilgan</t>
  </si>
  <si>
    <t xml:space="preserve">4 katakli + arka + xoch</t>
  </si>
  <si>
    <t xml:space="preserve">6 + 22 + 6</t>
  </si>
  <si>
    <t xml:space="preserve">Windows</t>
  </si>
  <si>
    <t xml:space="preserve">4 katakli + 2 ta egri</t>
  </si>
  <si>
    <t xml:space="preserve">4 + 15 + 15</t>
  </si>
  <si>
    <t xml:space="preserve">Madrid (o'chirilgan)</t>
  </si>
  <si>
    <t xml:space="preserve">18×36 / 8×8</t>
  </si>
  <si>
    <t xml:space="preserve">to'rtburchak + kubik (6 katakli)</t>
  </si>
  <si>
    <t xml:space="preserve">14,5 + 14,5</t>
  </si>
  <si>
    <t xml:space="preserve">Versal 1</t>
  </si>
  <si>
    <t xml:space="preserve">yulduz + asosiy</t>
  </si>
  <si>
    <t xml:space="preserve">5,5 + 11</t>
  </si>
  <si>
    <t xml:space="preserve">22 + 11</t>
  </si>
  <si>
    <t xml:space="preserve">Taroq</t>
  </si>
  <si>
    <t xml:space="preserve">30×40</t>
  </si>
  <si>
    <t xml:space="preserve">8,8</t>
  </si>
  <si>
    <t xml:space="preserve">Rimskiy kamen</t>
  </si>
  <si>
    <t xml:space="preserve">Versal 2</t>
  </si>
  <si>
    <t xml:space="preserve">Ideal</t>
  </si>
  <si>
    <t xml:space="preserve">kvadrat + kubik (6 katakli) + katta 2 katakli</t>
  </si>
  <si>
    <t xml:space="preserve">6 + 7,5 + 25</t>
  </si>
  <si>
    <t xml:space="preserve">4 katakli</t>
  </si>
  <si>
    <t xml:space="preserve">50</t>
  </si>
  <si>
    <t xml:space="preserve">Aleya</t>
  </si>
  <si>
    <t xml:space="preserve">24×24 + 10×10 (qo'lda)</t>
  </si>
  <si>
    <t xml:space="preserve">sakkiz qirra + kichik kvadrat</t>
  </si>
  <si>
    <t xml:space="preserve">Travertin</t>
  </si>
  <si>
    <t xml:space="preserve">kubik (6 katakli) + naqshli kvadrat</t>
  </si>
  <si>
    <t xml:space="preserve">№50 bilan strelka orqali bog'langan (bir xil ma'lumot)</t>
  </si>
  <si>
    <t xml:space="preserve">Flajok</t>
  </si>
  <si>
    <t xml:space="preserve">yulduz + kichik kvadrat + 2 katakli</t>
  </si>
  <si>
    <t xml:space="preserve">izoh yozilmagan</t>
  </si>
  <si>
    <t xml:space="preserve">Aleya shershavoe</t>
  </si>
  <si>
    <t xml:space="preserve">17 + 17</t>
  </si>
  <si>
    <t xml:space="preserve">4,8 kg o'chirilib 4,6 yozilgan</t>
  </si>
  <si>
    <t xml:space="preserve">Aleya 2</t>
  </si>
  <si>
    <t xml:space="preserve">xoch + sakkiz qirra</t>
  </si>
  <si>
    <t xml:space="preserve">13 + 13</t>
  </si>
  <si>
    <t xml:space="preserve">Chuqurligi 3,5 sm — egasi tomonidan tasdiqlandi</t>
  </si>
  <si>
    <t xml:space="preserve">Aleya 3</t>
  </si>
  <si>
    <t xml:space="preserve">kichik kvadrat + sakkiz qirra + "kostochka"</t>
  </si>
  <si>
    <t xml:space="preserve">Aleya uzor</t>
  </si>
  <si>
    <t xml:space="preserve">27×27 + 13×13 (qo'lda)</t>
  </si>
  <si>
    <t xml:space="preserve">sakkiz qirra + kvadrat</t>
  </si>
  <si>
    <t xml:space="preserve">12 + 12</t>
  </si>
  <si>
    <t xml:space="preserve">Zvezda</t>
  </si>
  <si>
    <t xml:space="preserve">yulduz + olti burchak</t>
  </si>
  <si>
    <t xml:space="preserve">15 + 14</t>
  </si>
  <si>
    <t xml:space="preserve">3,5 o'chirilib 4 yozilgan</t>
  </si>
  <si>
    <t xml:space="preserve">Afsona</t>
  </si>
  <si>
    <t xml:space="preserve">yulduz + romb + strelka</t>
  </si>
  <si>
    <t xml:space="preserve">3,5 + 11 + 20</t>
  </si>
  <si>
    <t xml:space="preserve">Rombik 1</t>
  </si>
  <si>
    <t xml:space="preserve">30</t>
  </si>
  <si>
    <t xml:space="preserve">Rombik 2</t>
  </si>
  <si>
    <t xml:space="preserve">"6 kg 400"</t>
  </si>
  <si>
    <t xml:space="preserve">№61 bilan strelka orqali bog'langan</t>
  </si>
  <si>
    <t xml:space="preserve">12 + 3</t>
  </si>
  <si>
    <t xml:space="preserve">3 + 12 + 3</t>
  </si>
  <si>
    <t xml:space="preserve">Orxideya</t>
  </si>
  <si>
    <t xml:space="preserve">2 ta egri + kichik sakkiz qirra</t>
  </si>
  <si>
    <t xml:space="preserve">12 + 12 + 6</t>
  </si>
  <si>
    <t xml:space="preserve">strelka + uchburchak</t>
  </si>
  <si>
    <t xml:space="preserve">19 + 13</t>
  </si>
  <si>
    <t xml:space="preserve">Buxara</t>
  </si>
  <si>
    <t xml:space="preserve">18 + 9</t>
  </si>
  <si>
    <t xml:space="preserve">47</t>
  </si>
  <si>
    <t xml:space="preserve">Marokesh 2</t>
  </si>
  <si>
    <t xml:space="preserve">sakkiz qirra + 2 katakli</t>
  </si>
  <si>
    <t xml:space="preserve">Marokesh</t>
  </si>
  <si>
    <t xml:space="preserve">№69 bilan strelka orqali bog'langan</t>
  </si>
  <si>
    <t xml:space="preserve">30×30 / 5×5</t>
  </si>
  <si>
    <t xml:space="preserve">10,5 + 10,5</t>
  </si>
  <si>
    <t xml:space="preserve">Alohida terilsa 11 ta</t>
  </si>
  <si>
    <t xml:space="preserve">Xokkey</t>
  </si>
  <si>
    <t xml:space="preserve">40</t>
  </si>
  <si>
    <t xml:space="preserve">Versachi</t>
  </si>
  <si>
    <t xml:space="preserve">Plyus</t>
  </si>
  <si>
    <t xml:space="preserve">Volna</t>
  </si>
  <si>
    <t xml:space="preserve">№77 bilan strelka orqali bog'langan</t>
  </si>
  <si>
    <t xml:space="preserve">Astra</t>
  </si>
  <si>
    <t xml:space="preserve">kichik sakkiz qirra + 2 katakli + katta sakkiz qirra</t>
  </si>
  <si>
    <t xml:space="preserve">Kerpich</t>
  </si>
  <si>
    <t xml:space="preserve">10×20</t>
  </si>
  <si>
    <t xml:space="preserve">2 katakli</t>
  </si>
  <si>
    <t xml:space="preserve">Azaliya</t>
  </si>
  <si>
    <t xml:space="preserve">30×30 / 13×13</t>
  </si>
  <si>
    <t xml:space="preserve">kichik kvadrat + katta kvadrat</t>
  </si>
  <si>
    <t xml:space="preserve">9 + 9</t>
  </si>
  <si>
    <t xml:space="preserve">Nikolay gladkiy</t>
  </si>
  <si>
    <t xml:space="preserve">cho'ziq sakkiz qirra + 2 katakli</t>
  </si>
  <si>
    <t xml:space="preserve">26 + 26</t>
  </si>
  <si>
    <t xml:space="preserve">Nikolay shershavoe</t>
  </si>
  <si>
    <t xml:space="preserve">№83 bilan strelka orqali bog'langan</t>
  </si>
  <si>
    <t xml:space="preserve">Nikolay 2</t>
  </si>
  <si>
    <t xml:space="preserve">kubik (6 katakli) + cho'ziq sakkiz qirra + naqshli kvadrat</t>
  </si>
  <si>
    <t xml:space="preserve">11 + 22 + 11</t>
  </si>
  <si>
    <t xml:space="preserve">6 katakli 11, cho'ziq 22, kvadrat 11; chuqurligi 3 — egasi tomonidan tasdiqlandi</t>
  </si>
  <si>
    <t xml:space="preserve">kubik (6 katakli) + cho'ziq sakkiz qirra + kvadrat</t>
  </si>
  <si>
    <t xml:space="preserve">№85 bilan bir xil</t>
  </si>
  <si>
    <t xml:space="preserve">Million</t>
  </si>
  <si>
    <t xml:space="preserve">xoch + 2 katakli + kvadrat</t>
  </si>
  <si>
    <t xml:space="preserve">Kostochka</t>
  </si>
  <si>
    <t xml:space="preserve">12×36</t>
  </si>
  <si>
    <t xml:space="preserve">23</t>
  </si>
  <si>
    <t xml:space="preserve">2 yarim + kichik</t>
  </si>
  <si>
    <t xml:space="preserve">8,5 + 8,5 + 8,5</t>
  </si>
  <si>
    <t xml:space="preserve">Charogon 1</t>
  </si>
  <si>
    <t xml:space="preserve">sakkiz qirra (2 katakli) + to'rtburchak + kvadrat + 2 katakli</t>
  </si>
  <si>
    <t xml:space="preserve">18 + 9 + 4,5 + 4,5</t>
  </si>
  <si>
    <t xml:space="preserve">26</t>
  </si>
  <si>
    <t xml:space="preserve">Egasi tomonidan tasdiqlandi (eski katalogda 5,07)</t>
  </si>
  <si>
    <t xml:space="preserve">Grant 1</t>
  </si>
  <si>
    <t xml:space="preserve">30×30 / 15×15</t>
  </si>
  <si>
    <t xml:space="preserve">Grant 2</t>
  </si>
  <si>
    <t xml:space="preserve">Charogon 2</t>
  </si>
  <si>
    <t xml:space="preserve">5 qolip</t>
  </si>
  <si>
    <t xml:space="preserve">Grant</t>
  </si>
  <si>
    <t xml:space="preserve">Zina</t>
  </si>
  <si>
    <t xml:space="preserve">30×30 / 15×30</t>
  </si>
  <si>
    <t xml:space="preserve">Sokol</t>
  </si>
  <si>
    <t xml:space="preserve">15×30 / 7,5×30</t>
  </si>
  <si>
    <t xml:space="preserve">22</t>
  </si>
  <si>
    <t xml:space="preserve">Nina</t>
  </si>
  <si>
    <t xml:space="preserve">63</t>
  </si>
  <si>
    <t xml:space="preserve">Korka</t>
  </si>
  <si>
    <t xml:space="preserve">15×30</t>
  </si>
  <si>
    <t xml:space="preserve">4 tali travertin</t>
  </si>
  <si>
    <t xml:space="preserve">13</t>
  </si>
  <si>
    <t xml:space="preserve">4 tali kamen</t>
  </si>
  <si>
    <t xml:space="preserve">6 tali gladkiy</t>
  </si>
  <si>
    <t xml:space="preserve">6 katakli</t>
  </si>
  <si>
    <t xml:space="preserve">15</t>
  </si>
  <si>
    <t xml:space="preserve">6 tali kamen</t>
  </si>
  <si>
    <t xml:space="preserve">Fasad va termopanel qoliplari — menejer varaqlari + suratlar</t>
  </si>
  <si>
    <t xml:space="preserve">Manba: sps_info.zip dagi 7 varaq (258–273-betlar) va qolip suratlari. Varaq tepasidagi izoh: qoliplar ABS va PP (qora) materialida, vazn har biriga alohida.</t>
  </si>
  <si>
    <t xml:space="preserve">Surat (DSC)</t>
  </si>
  <si>
    <t xml:space="preserve">Nomi (menejer)</t>
  </si>
  <si>
    <t xml:space="preserve">O'lcham, sm</t>
  </si>
  <si>
    <t xml:space="preserve">1 m² ga dona</t>
  </si>
  <si>
    <t xml:space="preserve">ABS, kg / m²</t>
  </si>
  <si>
    <t xml:space="preserve">PP, kg / m²</t>
  </si>
  <si>
    <t xml:space="preserve">Qo'lyozma holati</t>
  </si>
  <si>
    <t xml:space="preserve">Surat holati</t>
  </si>
  <si>
    <t xml:space="preserve">DSC03147</t>
  </si>
  <si>
    <t xml:space="preserve">Skameyka (3 forma)</t>
  </si>
  <si>
    <t xml:space="preserve">93 / 80 / 60</t>
  </si>
  <si>
    <t xml:space="preserve">3 ta qolip: DSC03147, 03149, 03150</t>
  </si>
  <si>
    <t xml:space="preserve">aniq o'qildi</t>
  </si>
  <si>
    <t xml:space="preserve">DSC03148</t>
  </si>
  <si>
    <t xml:space="preserve">3 forma to'plami</t>
  </si>
  <si>
    <t xml:space="preserve">DSC03149</t>
  </si>
  <si>
    <t xml:space="preserve">DSC03150</t>
  </si>
  <si>
    <t xml:space="preserve">DSC03151</t>
  </si>
  <si>
    <t xml:space="preserve">Fasad Beeline gladkiy</t>
  </si>
  <si>
    <t xml:space="preserve">30×60</t>
  </si>
  <si>
    <t xml:space="preserve">O'ngda shtativ qisqichi ko'rinadi</t>
  </si>
  <si>
    <t xml:space="preserve">DSC03152</t>
  </si>
  <si>
    <t xml:space="preserve">Fasad Beeline gladkiy 30×60</t>
  </si>
  <si>
    <t xml:space="preserve">Oldingi suratning ikkinchi kadri</t>
  </si>
  <si>
    <t xml:space="preserve">DSC03153</t>
  </si>
  <si>
    <t xml:space="preserve">Kirpich fasad</t>
  </si>
  <si>
    <t xml:space="preserve">25×50 (3,5 sm, 8 dona) va 30×60 (3 sm, 5,5 dona)</t>
  </si>
  <si>
    <t xml:space="preserve">Vaznlar: ABS 5,12 / PP 4,25 va ABS 4,47 / PP 3,65 — qaysi o'lchamga tegishli ekani aniq emas</t>
  </si>
  <si>
    <t xml:space="preserve">qayta tekshirilsin</t>
  </si>
  <si>
    <t xml:space="preserve">DSC03154</t>
  </si>
  <si>
    <t xml:space="preserve">Quba fasad</t>
  </si>
  <si>
    <t xml:space="preserve">30×60: 5,5 dona; 25×50: 3 sm, 8 dona</t>
  </si>
  <si>
    <t xml:space="preserve">30×60 — ABS 4,35 / PP 3,7; 25×50 — ABS 4,46 / PP 3,5; yonida "3,5 sm chuqur"</t>
  </si>
  <si>
    <t xml:space="preserve">Chapda boshqa qolip bo'lagi qolgan</t>
  </si>
  <si>
    <t xml:space="preserve">DSC03155</t>
  </si>
  <si>
    <t xml:space="preserve">Rus 2.2</t>
  </si>
  <si>
    <t xml:space="preserve">DSC03156</t>
  </si>
  <si>
    <t xml:space="preserve">Rus 2.2 30×60</t>
  </si>
  <si>
    <t xml:space="preserve">DSC03157</t>
  </si>
  <si>
    <t xml:space="preserve">Yangi Beeline shershaviy</t>
  </si>
  <si>
    <t xml:space="preserve">DSC03158</t>
  </si>
  <si>
    <t xml:space="preserve">Yangi Beeline shershaviy 30×60</t>
  </si>
  <si>
    <t xml:space="preserve">DSC03159</t>
  </si>
  <si>
    <t xml:space="preserve">DSC03160</t>
  </si>
  <si>
    <t xml:space="preserve">DSC03161</t>
  </si>
  <si>
    <t xml:space="preserve">Kirpich</t>
  </si>
  <si>
    <t xml:space="preserve">DSC03162</t>
  </si>
  <si>
    <t xml:space="preserve">DSC03163</t>
  </si>
  <si>
    <t xml:space="preserve">Rus 2</t>
  </si>
  <si>
    <t xml:space="preserve">DSC03164</t>
  </si>
  <si>
    <t xml:space="preserve">DSC03165</t>
  </si>
  <si>
    <t xml:space="preserve">Beeline №1</t>
  </si>
  <si>
    <t xml:space="preserve">DSC03166</t>
  </si>
  <si>
    <t xml:space="preserve">DSC03167</t>
  </si>
  <si>
    <t xml:space="preserve">Rus 2.2 ABS</t>
  </si>
  <si>
    <t xml:space="preserve">DSC03168</t>
  </si>
  <si>
    <t xml:space="preserve">DSC03169</t>
  </si>
  <si>
    <t xml:space="preserve">Qubba</t>
  </si>
  <si>
    <t xml:space="preserve">DSC03170</t>
  </si>
  <si>
    <t xml:space="preserve">DSC03171</t>
  </si>
  <si>
    <t xml:space="preserve">Shershaviy</t>
  </si>
  <si>
    <t xml:space="preserve">DSC03172</t>
  </si>
  <si>
    <t xml:space="preserve">DSC03174</t>
  </si>
  <si>
    <t xml:space="preserve">Labirint</t>
  </si>
  <si>
    <t xml:space="preserve">DSC03175</t>
  </si>
  <si>
    <t xml:space="preserve">Fasad 3D</t>
  </si>
  <si>
    <t xml:space="preserve">DSC03176</t>
  </si>
  <si>
    <t xml:space="preserve">DSC03177</t>
  </si>
  <si>
    <t xml:space="preserve">Rus 3</t>
  </si>
  <si>
    <t xml:space="preserve">DSC03178</t>
  </si>
  <si>
    <t xml:space="preserve">Brilliant</t>
  </si>
  <si>
    <t xml:space="preserve">25×50</t>
  </si>
  <si>
    <t xml:space="preserve">DSC03179</t>
  </si>
  <si>
    <t xml:space="preserve">Quba</t>
  </si>
  <si>
    <t xml:space="preserve">DSC03182</t>
  </si>
  <si>
    <t xml:space="preserve">DSC03183</t>
  </si>
  <si>
    <t xml:space="preserve">DSC03184</t>
  </si>
  <si>
    <t xml:space="preserve">DSC03185</t>
  </si>
  <si>
    <t xml:space="preserve">o'qilmadi</t>
  </si>
  <si>
    <t xml:space="preserve">"ABC 3,53" deb yozilgan (ABS vazni bo'lishi mumkin)</t>
  </si>
  <si>
    <t xml:space="preserve">DSC03186</t>
  </si>
  <si>
    <t xml:space="preserve">DSC03187</t>
  </si>
  <si>
    <t xml:space="preserve">DSC03188</t>
  </si>
  <si>
    <t xml:space="preserve">Varaqda izoh yo'q</t>
  </si>
  <si>
    <t xml:space="preserve">varaqda izoh yo'q</t>
  </si>
  <si>
    <t xml:space="preserve">DSC03189</t>
  </si>
  <si>
    <t xml:space="preserve">DSC03240</t>
  </si>
  <si>
    <t xml:space="preserve">Fon o'chmagan — qayta tozalash kerak</t>
  </si>
  <si>
    <t xml:space="preserve">DSC03241</t>
  </si>
  <si>
    <t xml:space="preserve">DSC03242</t>
  </si>
  <si>
    <t xml:space="preserve">Fon qoldig'i bor</t>
  </si>
  <si>
    <t xml:space="preserve">DSC03243</t>
  </si>
  <si>
    <t xml:space="preserve">DSC03244</t>
  </si>
  <si>
    <t xml:space="preserve">Sokol kalonna</t>
  </si>
  <si>
    <t xml:space="preserve">20×75</t>
  </si>
  <si>
    <t xml:space="preserve">DSC03245</t>
  </si>
  <si>
    <t xml:space="preserve">Sokol friz kubik</t>
  </si>
  <si>
    <t xml:space="preserve">15×120</t>
  </si>
  <si>
    <t xml:space="preserve">DSC03246</t>
  </si>
  <si>
    <t xml:space="preserve">Karniz 1</t>
  </si>
  <si>
    <t xml:space="preserve">35×120</t>
  </si>
  <si>
    <t xml:space="preserve">"Kapitel" so'zi o'chirilgan</t>
  </si>
  <si>
    <t xml:space="preserve">DSC03247</t>
  </si>
  <si>
    <t xml:space="preserve">Pilyastr 3</t>
  </si>
  <si>
    <t xml:space="preserve">30×120</t>
  </si>
  <si>
    <t xml:space="preserve">DSC03248</t>
  </si>
  <si>
    <t xml:space="preserve">Kalonna</t>
  </si>
  <si>
    <t xml:space="preserve">40×120</t>
  </si>
  <si>
    <t xml:space="preserve">Sherigi bor: DSC03260, 03263, 03264</t>
  </si>
  <si>
    <t xml:space="preserve">DSC03249</t>
  </si>
  <si>
    <t xml:space="preserve">Menejer varag'ida yo'q</t>
  </si>
  <si>
    <t xml:space="preserve">DSC03250</t>
  </si>
  <si>
    <t xml:space="preserve">Beeline 3</t>
  </si>
  <si>
    <t xml:space="preserve">DSC03251</t>
  </si>
  <si>
    <t xml:space="preserve">Chiziqcha</t>
  </si>
  <si>
    <t xml:space="preserve">chiziqcha</t>
  </si>
  <si>
    <t xml:space="preserve">DSC03252</t>
  </si>
  <si>
    <t xml:space="preserve">Rom karniz 1</t>
  </si>
  <si>
    <t xml:space="preserve">18×120</t>
  </si>
  <si>
    <t xml:space="preserve">"oq fonda, oq qolip …" degan izoh to'liq o'qilmadi</t>
  </si>
  <si>
    <t xml:space="preserve">DSC03253</t>
  </si>
  <si>
    <t xml:space="preserve">Zina 30–120 gladkiy</t>
  </si>
  <si>
    <t xml:space="preserve">DSC03254</t>
  </si>
  <si>
    <t xml:space="preserve">20×100</t>
  </si>
  <si>
    <t xml:space="preserve">DSC03255</t>
  </si>
  <si>
    <t xml:space="preserve">DSC03256</t>
  </si>
  <si>
    <t xml:space="preserve">65×30 yoki 65×80 (?)</t>
  </si>
  <si>
    <t xml:space="preserve">O'lchamning ikkinchi raqami aniq emas</t>
  </si>
  <si>
    <t xml:space="preserve">DSC03257</t>
  </si>
  <si>
    <t xml:space="preserve">65×120</t>
  </si>
  <si>
    <t xml:space="preserve">DSC03258</t>
  </si>
  <si>
    <t xml:space="preserve">Kapitel 20</t>
  </si>
  <si>
    <t xml:space="preserve">DSC03259</t>
  </si>
  <si>
    <t xml:space="preserve">DSC03260</t>
  </si>
  <si>
    <t xml:space="preserve">(Kalonna 40×120 sherigi)</t>
  </si>
  <si>
    <t xml:space="preserve">× belgisi qo'yilgan</t>
  </si>
  <si>
    <t xml:space="preserve">DSC03261</t>
  </si>
  <si>
    <t xml:space="preserve">DSC03262</t>
  </si>
  <si>
    <t xml:space="preserve">Kapitel 40 — past</t>
  </si>
  <si>
    <t xml:space="preserve">DSC03263</t>
  </si>
  <si>
    <t xml:space="preserve">DSC03264</t>
  </si>
  <si>
    <t xml:space="preserve">DSC03248 yonidagi yozuvga ko'ra ("3260, 3263, 64")</t>
  </si>
  <si>
    <t xml:space="preserve">DSC03265</t>
  </si>
  <si>
    <t xml:space="preserve">Bu surat varag'i (270–271-bet) kelmagan</t>
  </si>
  <si>
    <t xml:space="preserve">DSC03266</t>
  </si>
  <si>
    <t xml:space="preserve">DSC03267</t>
  </si>
  <si>
    <t xml:space="preserve">DSC03268</t>
  </si>
  <si>
    <t xml:space="preserve">DSC03269</t>
  </si>
  <si>
    <t xml:space="preserve">DSC03270</t>
  </si>
  <si>
    <t xml:space="preserve">DSC03271</t>
  </si>
  <si>
    <t xml:space="preserve">DSC03272</t>
  </si>
  <si>
    <t xml:space="preserve">Nakonechnik 50</t>
  </si>
  <si>
    <t xml:space="preserve">DSC03273</t>
  </si>
  <si>
    <t xml:space="preserve">Kapitel 40 — tepa</t>
  </si>
  <si>
    <t xml:space="preserve">DSC03274</t>
  </si>
  <si>
    <t xml:space="preserve">DSC03275</t>
  </si>
  <si>
    <t xml:space="preserve">DSC03276</t>
  </si>
  <si>
    <t xml:space="preserve">DSC03277</t>
  </si>
  <si>
    <t xml:space="preserve">DSC03278</t>
  </si>
  <si>
    <t xml:space="preserve">DSC03279</t>
  </si>
  <si>
    <t xml:space="preserve">Solishtirish — eski katalog va menejer raqamlari</t>
  </si>
  <si>
    <t xml:space="preserve">Faqat ikkala manbada ham bor modellar. Eski katalog kg = "1 Archive qoliplar" varag'idagi jami vazn; menejer kg = "2 Kitobcha" varag'i. Farq 0,3 kg dan katta bo'lsa belgilanadi.</t>
  </si>
  <si>
    <t xml:space="preserve">Model (eski katalog)</t>
  </si>
  <si>
    <t xml:space="preserve">sps_old №</t>
  </si>
  <si>
    <t xml:space="preserve">Kitobcha №</t>
  </si>
  <si>
    <t xml:space="preserve">Kitobchadagi nomi</t>
  </si>
  <si>
    <t xml:space="preserve">Eski katalog: 1 m², kg</t>
  </si>
  <si>
    <t xml:space="preserve">Menejer: 1 m², kg</t>
  </si>
  <si>
    <t xml:space="preserve">Farq, kg (menejer − eski)</t>
  </si>
  <si>
    <t xml:space="preserve">Eski katalog: dona</t>
  </si>
  <si>
    <t xml:space="preserve">Menejer: dona</t>
  </si>
  <si>
    <t xml:space="preserve">92</t>
  </si>
  <si>
    <t xml:space="preserve">8,2 + 4,1 + 4,1</t>
  </si>
  <si>
    <t xml:space="preserve">30 + 30</t>
  </si>
  <si>
    <t xml:space="preserve">8,2 + 16,4</t>
  </si>
  <si>
    <t xml:space="preserve">8,2 + 32,8</t>
  </si>
  <si>
    <t xml:space="preserve">"42 uzunligi, 12 eni"; Uch katak kvadrat qilib yozilgan</t>
  </si>
  <si>
    <t xml:space="preserve">Faqat pastdagi 3 katakli qolip — trapetsiya qoliplar kirmaydi (tasdiqlandi); Uch katak kvadrat qilib yozilgan</t>
  </si>
  <si>
    <t xml:space="preserve">45 + 45</t>
  </si>
  <si>
    <t xml:space="preserve">Egasi tomonidan tasdiqlandi; B qolip o'lchami 53×53 deb yozilgan — rasmda katta "H" shakl (xato bo'lishi mumkin)</t>
  </si>
  <si>
    <t xml:space="preserve">12,5 + 25</t>
  </si>
  <si>
    <t xml:space="preserve">15 + 15 + 4</t>
  </si>
  <si>
    <t xml:space="preserve">11 + 5,5</t>
  </si>
  <si>
    <t xml:space="preserve">3 + 3 + 12</t>
  </si>
  <si>
    <t xml:space="preserve">13 + 19</t>
  </si>
  <si>
    <t xml:space="preserve">9 + 18</t>
  </si>
  <si>
    <t xml:space="preserve">17 + 8,5</t>
  </si>
  <si>
    <t xml:space="preserve">Suratlarni modelga bog'lash — 264 ta surat</t>
  </si>
  <si>
    <t xml:space="preserve">Bog'lanish eski katalog va kitobcha rasmlari bilan yonma-yon solishtirib qilingan (mening taxminim). "Taxminiy" va "noma'lum" qatorlarni menejer bilan tekshirish kerak.</t>
  </si>
  <si>
    <t xml:space="preserve">Guruh</t>
  </si>
  <si>
    <t xml:space="preserve">Taxminiy model</t>
  </si>
  <si>
    <t xml:space="preserve">Ishonch</t>
  </si>
  <si>
    <t xml:space="preserve">DSC03281</t>
  </si>
  <si>
    <t xml:space="preserve">Plitka qolipi</t>
  </si>
  <si>
    <t xml:space="preserve">Fasad qolipi (kapitel / baza turi)</t>
  </si>
  <si>
    <t xml:space="preserve">Och rangli; nomi va o'lchami kerak</t>
  </si>
  <si>
    <t xml:space="preserve">noma'lum — nomi kerak</t>
  </si>
  <si>
    <t xml:space="preserve">DSC03282</t>
  </si>
  <si>
    <t xml:space="preserve">Kerpich 10×20×7 (№80)</t>
  </si>
  <si>
    <t xml:space="preserve">2 katakli chuqur qolip</t>
  </si>
  <si>
    <t xml:space="preserve">taxminiy</t>
  </si>
  <si>
    <t xml:space="preserve">DSC03283</t>
  </si>
  <si>
    <t xml:space="preserve">Aleya uzor — sakkiz qirra 27×27 (№56)</t>
  </si>
  <si>
    <t xml:space="preserve">1-kadr</t>
  </si>
  <si>
    <t xml:space="preserve">ishonchli</t>
  </si>
  <si>
    <t xml:space="preserve">DSC03284</t>
  </si>
  <si>
    <t xml:space="preserve">2-kadr</t>
  </si>
  <si>
    <t xml:space="preserve">DSC03285</t>
  </si>
  <si>
    <t xml:space="preserve">Aleya / Aleya 2 — sakkiz qirra (№48, №54)</t>
  </si>
  <si>
    <t xml:space="preserve">Asosiy qolip</t>
  </si>
  <si>
    <t xml:space="preserve">DSC03286</t>
  </si>
  <si>
    <t xml:space="preserve">Uzor 20×20 ×2</t>
  </si>
  <si>
    <t xml:space="preserve">Asosiy qolip (gul naqshli)</t>
  </si>
  <si>
    <t xml:space="preserve">DSC03287</t>
  </si>
  <si>
    <t xml:space="preserve">Parket 12×36 (№89)?</t>
  </si>
  <si>
    <t xml:space="preserve">Uzun, tosh teksturali</t>
  </si>
  <si>
    <t xml:space="preserve">DSC03288</t>
  </si>
  <si>
    <t xml:space="preserve">Bodom 20×20 ×4 — asosiy</t>
  </si>
  <si>
    <t xml:space="preserve">Mayda tosh naqshli sakkiz qirra</t>
  </si>
  <si>
    <t xml:space="preserve">DSC03289</t>
  </si>
  <si>
    <t xml:space="preserve">Strelka (kitobchada №76 Plyus)</t>
  </si>
  <si>
    <t xml:space="preserve">Yakka kvadrat 30×30</t>
  </si>
  <si>
    <t xml:space="preserve">DSC03290</t>
  </si>
  <si>
    <t xml:space="preserve">DSC03291</t>
  </si>
  <si>
    <t xml:space="preserve">DSC03292</t>
  </si>
  <si>
    <t xml:space="preserve">Kabanchik 15×15 (2 katakli, №6 / №23)?</t>
  </si>
  <si>
    <t xml:space="preserve">Tosh teksturali</t>
  </si>
  <si>
    <t xml:space="preserve">DSC03293</t>
  </si>
  <si>
    <t xml:space="preserve">Tomir 20×20 ×2 — asosiy</t>
  </si>
  <si>
    <t xml:space="preserve">Yoriq naqshli</t>
  </si>
  <si>
    <t xml:space="preserve">DSC03294</t>
  </si>
  <si>
    <t xml:space="preserve">Kerpich 10×20×5 (№91)</t>
  </si>
  <si>
    <t xml:space="preserve">DSC03295</t>
  </si>
  <si>
    <t xml:space="preserve">Parket 20×20 ×2 — asosiy</t>
  </si>
  <si>
    <t xml:space="preserve">DSC03296</t>
  </si>
  <si>
    <t xml:space="preserve">3 katakli, silliq</t>
  </si>
  <si>
    <t xml:space="preserve">DSC03297</t>
  </si>
  <si>
    <t xml:space="preserve">Azaliya 1 — sherik (190 mm)</t>
  </si>
  <si>
    <t xml:space="preserve">To'rt yaproqli, tomchi gulbargli</t>
  </si>
  <si>
    <t xml:space="preserve">DSC03298</t>
  </si>
  <si>
    <t xml:space="preserve">Rimskiy kamen 30×40 (№44)</t>
  </si>
  <si>
    <t xml:space="preserve">2-kadr (DSC03381 bilan bir xil)</t>
  </si>
  <si>
    <t xml:space="preserve">DSC03299</t>
  </si>
  <si>
    <t xml:space="preserve">Vetnam 17,5 (№22) — asosiy</t>
  </si>
  <si>
    <t xml:space="preserve">Chuvalchang naqshli sakkiz qirra (Aleya shershavoe ham shunday)</t>
  </si>
  <si>
    <t xml:space="preserve">DSC03300</t>
  </si>
  <si>
    <t xml:space="preserve">Farovon — sherik ("H" shakl)</t>
  </si>
  <si>
    <t xml:space="preserve">DSC03301</t>
  </si>
  <si>
    <t xml:space="preserve">Guruch 20×20 ×4 (kitobchada №8 Florensiya?)</t>
  </si>
  <si>
    <t xml:space="preserve">Mayda donador sakkiz qirra</t>
  </si>
  <si>
    <t xml:space="preserve">DSC03302</t>
  </si>
  <si>
    <t xml:space="preserve">Farovon — asosiy</t>
  </si>
  <si>
    <t xml:space="preserve">DSC03303</t>
  </si>
  <si>
    <t xml:space="preserve">Royal 1 — asosiy</t>
  </si>
  <si>
    <t xml:space="preserve">DSC03304</t>
  </si>
  <si>
    <t xml:space="preserve">Ornament 30×30 (kitobchada National, №15 ning katta qolipi)</t>
  </si>
  <si>
    <t xml:space="preserve">DSC03305</t>
  </si>
  <si>
    <t xml:space="preserve">Ventilyator — katta qolip</t>
  </si>
  <si>
    <t xml:space="preserve">DSC03306</t>
  </si>
  <si>
    <t xml:space="preserve">Aziya 3 — asosiy</t>
  </si>
  <si>
    <t xml:space="preserve">DSC03307</t>
  </si>
  <si>
    <t xml:space="preserve">Rombik eski (kitobcha: Rombik 1)</t>
  </si>
  <si>
    <t xml:space="preserve">DSC03308</t>
  </si>
  <si>
    <t xml:space="preserve">Zina 30×30 (№100)</t>
  </si>
  <si>
    <t xml:space="preserve">Chuvalchang naqsh + zina chiziqlari</t>
  </si>
  <si>
    <t xml:space="preserve">DSC03309</t>
  </si>
  <si>
    <t xml:space="preserve">Travertin 40×40 (№49)</t>
  </si>
  <si>
    <t xml:space="preserve">Ko'p bo'lakli, tosh teksturali</t>
  </si>
  <si>
    <t xml:space="preserve">DSC03310</t>
  </si>
  <si>
    <t xml:space="preserve">DSC03311</t>
  </si>
  <si>
    <t xml:space="preserve">Ona-bola 1 — asosiy</t>
  </si>
  <si>
    <t xml:space="preserve">Kichik pog'onali xoch, gulli</t>
  </si>
  <si>
    <t xml:space="preserve">DSC03312</t>
  </si>
  <si>
    <t xml:space="preserve">Kabanchik 15×15 (2 katakli), silliq?</t>
  </si>
  <si>
    <t xml:space="preserve">DSC03313</t>
  </si>
  <si>
    <t xml:space="preserve">DSC03314</t>
  </si>
  <si>
    <t xml:space="preserve">Gladkiy 18×36 — asosiy</t>
  </si>
  <si>
    <t xml:space="preserve">DSC03315</t>
  </si>
  <si>
    <t xml:space="preserve">Nomi noma'lum</t>
  </si>
  <si>
    <t xml:space="preserve">Uzun qolip, o'rama naqshli</t>
  </si>
  <si>
    <t xml:space="preserve">DSC03316</t>
  </si>
  <si>
    <t xml:space="preserve">Aleya uzor — sherik 13×13 (№56) yoki Azaliya 13×13 (№82)</t>
  </si>
  <si>
    <t xml:space="preserve">Kichik kvadrat, naqshli</t>
  </si>
  <si>
    <t xml:space="preserve">DSC03317</t>
  </si>
  <si>
    <t xml:space="preserve">Ornament 18×36 yoki Dojdik 18×36 — asosiy</t>
  </si>
  <si>
    <t xml:space="preserve">DSC03318</t>
  </si>
  <si>
    <t xml:space="preserve">20×20 guruhi — nomi aniqlanmadi</t>
  </si>
  <si>
    <t xml:space="preserve">Kichikroq</t>
  </si>
  <si>
    <t xml:space="preserve">DSC03319</t>
  </si>
  <si>
    <t xml:space="preserve">Kichikroq, to'r naqshli</t>
  </si>
  <si>
    <t xml:space="preserve">DSC03320</t>
  </si>
  <si>
    <t xml:space="preserve">Dubay aylana — 2 katakli trapetsiya</t>
  </si>
  <si>
    <t xml:space="preserve">Kichik</t>
  </si>
  <si>
    <t xml:space="preserve">DSC03322</t>
  </si>
  <si>
    <t xml:space="preserve">Zina 30×30 (№99)</t>
  </si>
  <si>
    <t xml:space="preserve">To'r naqsh + zina chiziqlari</t>
  </si>
  <si>
    <t xml:space="preserve">DSC03323</t>
  </si>
  <si>
    <t xml:space="preserve">Tsvetok (kitobchada №5 Uzor)</t>
  </si>
  <si>
    <t xml:space="preserve">DSC03324</t>
  </si>
  <si>
    <t xml:space="preserve">Aziya 3 — sherik (yulduz)</t>
  </si>
  <si>
    <t xml:space="preserve">DSC03325</t>
  </si>
  <si>
    <t xml:space="preserve">Ona-bola 1 — sherik (135 mm)</t>
  </si>
  <si>
    <t xml:space="preserve">To'rt yaproqli, tomchi gulbargli, kichik</t>
  </si>
  <si>
    <t xml:space="preserve">DSC03326</t>
  </si>
  <si>
    <t xml:space="preserve">Ona-bola 2 — sherik (135 mm)</t>
  </si>
  <si>
    <t xml:space="preserve">To'rt yaproqli, xoch naqshli, kichik</t>
  </si>
  <si>
    <t xml:space="preserve">DSC03327</t>
  </si>
  <si>
    <t xml:space="preserve">Bodom 20×20 ×2 — asosiy</t>
  </si>
  <si>
    <t xml:space="preserve">Mayda tosh naqshli</t>
  </si>
  <si>
    <t xml:space="preserve">DSC03328</t>
  </si>
  <si>
    <t xml:space="preserve">Xokkey (№73)</t>
  </si>
  <si>
    <t xml:space="preserve">Bumerang emas — Bumerang surati topilmadi</t>
  </si>
  <si>
    <t xml:space="preserve">DSC03329</t>
  </si>
  <si>
    <t xml:space="preserve">Kichik kvadrat sherik (10×10 yoki 15×15)</t>
  </si>
  <si>
    <t xml:space="preserve">National / Versal / Grant?</t>
  </si>
  <si>
    <t xml:space="preserve">DSC03330</t>
  </si>
  <si>
    <t xml:space="preserve">Azaliya 2 — asosiy</t>
  </si>
  <si>
    <t xml:space="preserve">Pog'onali xoch-kvadrat</t>
  </si>
  <si>
    <t xml:space="preserve">DSC03331</t>
  </si>
  <si>
    <t xml:space="preserve">Tosh yo'lak, burchaklari yog'och naqshli</t>
  </si>
  <si>
    <t xml:space="preserve">DSC03332</t>
  </si>
  <si>
    <t xml:space="preserve">Kabanchik 17×17 — asosiy</t>
  </si>
  <si>
    <t xml:space="preserve">DSC03333</t>
  </si>
  <si>
    <t xml:space="preserve">Vindovs — tor egri qolip (A)</t>
  </si>
  <si>
    <t xml:space="preserve">DSC03334</t>
  </si>
  <si>
    <t xml:space="preserve">Mumtoz — asosiy (№7)</t>
  </si>
  <si>
    <t xml:space="preserve">2-kadr (DSC03440 ga o'xshash)</t>
  </si>
  <si>
    <t xml:space="preserve">DSC03335</t>
  </si>
  <si>
    <t xml:space="preserve">DSC03336</t>
  </si>
  <si>
    <t xml:space="preserve">20×20 guruhi — nomi aniqlanmadi (Sultan?)</t>
  </si>
  <si>
    <t xml:space="preserve">Burchagi kesilgan, chuvalchang naqshli</t>
  </si>
  <si>
    <t xml:space="preserve">DSC03337</t>
  </si>
  <si>
    <t xml:space="preserve">DSC03338</t>
  </si>
  <si>
    <t xml:space="preserve">Orxideya — kichik sakkiz qirra (№65)</t>
  </si>
  <si>
    <t xml:space="preserve">DSC03339</t>
  </si>
  <si>
    <t xml:space="preserve">DSC03340</t>
  </si>
  <si>
    <t xml:space="preserve">Kabanchik 10×10 (4 katakli)</t>
  </si>
  <si>
    <t xml:space="preserve">DSC03341</t>
  </si>
  <si>
    <t xml:space="preserve">Royal 2 (№35) / Azara (№39) / Windows (№36) — sherik 10×10 ×4</t>
  </si>
  <si>
    <t xml:space="preserve">4 katakli, naqshli, ikkinchi xil</t>
  </si>
  <si>
    <t xml:space="preserve">DSC03342</t>
  </si>
  <si>
    <t xml:space="preserve">Aziya — asosiy</t>
  </si>
  <si>
    <t xml:space="preserve">DSC03343</t>
  </si>
  <si>
    <t xml:space="preserve">Yog'och naqsh + gulli yo'lak</t>
  </si>
  <si>
    <t xml:space="preserve">DSC03344</t>
  </si>
  <si>
    <t xml:space="preserve">Uzun tor, ko'p katakli</t>
  </si>
  <si>
    <t xml:space="preserve">DSC03345</t>
  </si>
  <si>
    <t xml:space="preserve">Sakkiz qirra: 4 ta liliya va markaziy naqsh</t>
  </si>
  <si>
    <t xml:space="preserve">DSC03346</t>
  </si>
  <si>
    <t xml:space="preserve">Uzor 4 gul 40×40 (kitobchada №4 "Eksklyuziv")</t>
  </si>
  <si>
    <t xml:space="preserve">DSC03347</t>
  </si>
  <si>
    <t xml:space="preserve">Kichik kvadratlar (6 katakli) — sherik</t>
  </si>
  <si>
    <t xml:space="preserve">Qaysi modelniki ekani o'lchamga bog'liq</t>
  </si>
  <si>
    <t xml:space="preserve">DSC03348</t>
  </si>
  <si>
    <t xml:space="preserve">Palma — asosiy (yarim)</t>
  </si>
  <si>
    <t xml:space="preserve">2-kadr yoki ikkinchi yarim</t>
  </si>
  <si>
    <t xml:space="preserve">DSC03349</t>
  </si>
  <si>
    <t xml:space="preserve">Korka 15×30 (№104)</t>
  </si>
  <si>
    <t xml:space="preserve">DSC03350</t>
  </si>
  <si>
    <t xml:space="preserve">Million — yumaloq burchakli kvadrat (№87)</t>
  </si>
  <si>
    <t xml:space="preserve">DSC03351</t>
  </si>
  <si>
    <t xml:space="preserve">Aziya 3 — asosiy (kitobchadagi varianti, №41)</t>
  </si>
  <si>
    <t xml:space="preserve">Naqshi mayda; DSC03306 eski katalogdagi varianti</t>
  </si>
  <si>
    <t xml:space="preserve">DSC03352</t>
  </si>
  <si>
    <t xml:space="preserve">4 tali travertin (№105)?</t>
  </si>
  <si>
    <t xml:space="preserve">Naqshi biroz boshqacha</t>
  </si>
  <si>
    <t xml:space="preserve">DSC03353</t>
  </si>
  <si>
    <t xml:space="preserve">Astra (№79) / Million (№87) — 2 katakli, arqon naqshli</t>
  </si>
  <si>
    <t xml:space="preserve">DSC03354</t>
  </si>
  <si>
    <t xml:space="preserve">DSC03355</t>
  </si>
  <si>
    <t xml:space="preserve">Zina — silliq, zina chiziqli</t>
  </si>
  <si>
    <t xml:space="preserve">№99 / №100 dan qaysi biri ekani tekshirilsin</t>
  </si>
  <si>
    <t xml:space="preserve">DSC03356</t>
  </si>
  <si>
    <t xml:space="preserve">Ona-bola 2 — asosiy</t>
  </si>
  <si>
    <t xml:space="preserve">Pog'onali xoch, yulduz naqshli</t>
  </si>
  <si>
    <t xml:space="preserve">DSC03357</t>
  </si>
  <si>
    <t xml:space="preserve">DSC03358</t>
  </si>
  <si>
    <t xml:space="preserve">Ventilyator — kichik qolip (A)</t>
  </si>
  <si>
    <t xml:space="preserve">DSC03359</t>
  </si>
  <si>
    <t xml:space="preserve">Windows / Royal 2 — sherik (4 katakli)</t>
  </si>
  <si>
    <t xml:space="preserve">Kichik, gul naqshli</t>
  </si>
  <si>
    <t xml:space="preserve">DSC03360</t>
  </si>
  <si>
    <t xml:space="preserve">Ideal (№46) yoki Kabanchik — 2 katakli katta</t>
  </si>
  <si>
    <t xml:space="preserve">DSC03361</t>
  </si>
  <si>
    <t xml:space="preserve">Nikolay / Marokesh — sherik (2 katakli)</t>
  </si>
  <si>
    <t xml:space="preserve">Silliq</t>
  </si>
  <si>
    <t xml:space="preserve">DSC03362</t>
  </si>
  <si>
    <t xml:space="preserve">Aleya uzor ga o'xshash kichik sakkiz qirra</t>
  </si>
  <si>
    <t xml:space="preserve">Gul-xoch naqshli, hoshiyali; nomi tekshirilsin</t>
  </si>
  <si>
    <t xml:space="preserve">DSC03363</t>
  </si>
  <si>
    <t xml:space="preserve">Novvot 20×20 ×2 — asosiy</t>
  </si>
  <si>
    <t xml:space="preserve">Tosh yo'lak, yonlari donador</t>
  </si>
  <si>
    <t xml:space="preserve">DSC03364</t>
  </si>
  <si>
    <t xml:space="preserve">Azaliya 1 — asosiy (Aziya 1 va Aziya 2 da ham shu qolip)</t>
  </si>
  <si>
    <t xml:space="preserve">Pog'onali xoch-kvadrat, gulli</t>
  </si>
  <si>
    <t xml:space="preserve">DSC03365</t>
  </si>
  <si>
    <t xml:space="preserve">Marokesh — sherik (2 katakli, №70)</t>
  </si>
  <si>
    <t xml:space="preserve">Naqshli</t>
  </si>
  <si>
    <t xml:space="preserve">DSC03367</t>
  </si>
  <si>
    <t xml:space="preserve">DSC03368</t>
  </si>
  <si>
    <t xml:space="preserve">DSC03369</t>
  </si>
  <si>
    <t xml:space="preserve">Aziya 2 — sherik (gulsimon)</t>
  </si>
  <si>
    <t xml:space="preserve">DSC03370</t>
  </si>
  <si>
    <t xml:space="preserve">Million — xoch (№87)</t>
  </si>
  <si>
    <t xml:space="preserve">2-kadr yoki boshqa o'lcham</t>
  </si>
  <si>
    <t xml:space="preserve">DSC03371</t>
  </si>
  <si>
    <t xml:space="preserve">Aleya / Aleya 3 — sherik (kichik kvadrat 10×10)</t>
  </si>
  <si>
    <t xml:space="preserve">DSC03372</t>
  </si>
  <si>
    <t xml:space="preserve">Sakkiz qirra: g'isht hoshiya, o'rtasi tosh naqshli</t>
  </si>
  <si>
    <t xml:space="preserve">DSC03373</t>
  </si>
  <si>
    <t xml:space="preserve">Royal 2 — asosiy</t>
  </si>
  <si>
    <t xml:space="preserve">DSC03374</t>
  </si>
  <si>
    <t xml:space="preserve">Safir shaklida, gulli — nomi noma'lum</t>
  </si>
  <si>
    <t xml:space="preserve">Qo'shaloq sakkiz qirra</t>
  </si>
  <si>
    <t xml:space="preserve">DSC03375</t>
  </si>
  <si>
    <t xml:space="preserve">Parus 18×36 — sherik (2 katakli 18×9)</t>
  </si>
  <si>
    <t xml:space="preserve">DSC03376</t>
  </si>
  <si>
    <t xml:space="preserve">Parus 18×36 — asosiy</t>
  </si>
  <si>
    <t xml:space="preserve">DSC03377</t>
  </si>
  <si>
    <t xml:space="preserve">Zvezda — sherik (olti burchak, №57)</t>
  </si>
  <si>
    <t xml:space="preserve">DSC03378</t>
  </si>
  <si>
    <t xml:space="preserve">Royal 1 / Royal 2 — sherik (arka)</t>
  </si>
  <si>
    <t xml:space="preserve">DSC03379</t>
  </si>
  <si>
    <t xml:space="preserve">DSC03380</t>
  </si>
  <si>
    <t xml:space="preserve">Taroq 30×40 (№43)</t>
  </si>
  <si>
    <t xml:space="preserve">DSC03381</t>
  </si>
  <si>
    <t xml:space="preserve">DSC03382</t>
  </si>
  <si>
    <t xml:space="preserve">Nomi noma'lum (bordyur?)</t>
  </si>
  <si>
    <t xml:space="preserve">Uzun tor, silliq</t>
  </si>
  <si>
    <t xml:space="preserve">DSC03383</t>
  </si>
  <si>
    <t xml:space="preserve">To'rtburchak, romb-to'r naqshli</t>
  </si>
  <si>
    <t xml:space="preserve">DSC03384</t>
  </si>
  <si>
    <t xml:space="preserve">6 tali kamen (№108)</t>
  </si>
  <si>
    <t xml:space="preserve">Kitobchadagi rasm bilan mos</t>
  </si>
  <si>
    <t xml:space="preserve">DSC03385</t>
  </si>
  <si>
    <t xml:space="preserve">Dubay shershaviy</t>
  </si>
  <si>
    <t xml:space="preserve">DSC03387</t>
  </si>
  <si>
    <t xml:space="preserve">DSC03388</t>
  </si>
  <si>
    <t xml:space="preserve">Charogon 1 — sakkiz qirra 2 katakli (№92)</t>
  </si>
  <si>
    <t xml:space="preserve">DSC03389</t>
  </si>
  <si>
    <t xml:space="preserve">DSC03390</t>
  </si>
  <si>
    <t xml:space="preserve">Marokesh / Marokesh 2 — asosiy (№69, №70)</t>
  </si>
  <si>
    <t xml:space="preserve">DSC03391</t>
  </si>
  <si>
    <t xml:space="preserve">DSC03392</t>
  </si>
  <si>
    <t xml:space="preserve">Sakkiz qirra: girih yulduz (DSC03407 bilan bir xil naqsh)</t>
  </si>
  <si>
    <t xml:space="preserve">DSC03393</t>
  </si>
  <si>
    <t xml:space="preserve">Kabanchik 17,5×17,5 naqshli (№50)</t>
  </si>
  <si>
    <t xml:space="preserve">Hoshiyali, markazida gul; Nikolay 2 (№85) va Azaliya 30×30 (№82) da ham shunday naqsh</t>
  </si>
  <si>
    <t xml:space="preserve">DSC03394</t>
  </si>
  <si>
    <t xml:space="preserve">Orxideya — egri qolip (№65)</t>
  </si>
  <si>
    <t xml:space="preserve">G'isht-to'r naqshli, ikkinchi shakl</t>
  </si>
  <si>
    <t xml:space="preserve">DSC03395</t>
  </si>
  <si>
    <t xml:space="preserve">Eski katalog rasmi bilan yonma-yon solishtirildi</t>
  </si>
  <si>
    <t xml:space="preserve">DSC03396</t>
  </si>
  <si>
    <t xml:space="preserve">Parus 18×36 — asosiy?</t>
  </si>
  <si>
    <t xml:space="preserve">To'lqin naqshli, 2-kadr yoki boshqa o'lcham</t>
  </si>
  <si>
    <t xml:space="preserve">DSC03397</t>
  </si>
  <si>
    <t xml:space="preserve">DSC03398</t>
  </si>
  <si>
    <t xml:space="preserve">Parus 30×30 (3D Parus asosiy qolipi ham)</t>
  </si>
  <si>
    <t xml:space="preserve">DSC03399</t>
  </si>
  <si>
    <t xml:space="preserve">Astana 30×30 ×4 — asosiy</t>
  </si>
  <si>
    <t xml:space="preserve">Doira medalyon naqshli</t>
  </si>
  <si>
    <t xml:space="preserve">DSC03400</t>
  </si>
  <si>
    <t xml:space="preserve">Vegas 1 — asosiy</t>
  </si>
  <si>
    <t xml:space="preserve">DSC03401</t>
  </si>
  <si>
    <t xml:space="preserve">Kvadrat: diagonal donador yo'lak, tishli chetlar (Zanjir ham, Polosa ham emas)</t>
  </si>
  <si>
    <t xml:space="preserve">DSC03402</t>
  </si>
  <si>
    <t xml:space="preserve">DSC03403</t>
  </si>
  <si>
    <t xml:space="preserve">Kitobcha №1 (50×25)</t>
  </si>
  <si>
    <t xml:space="preserve">Katta to'rtburchak, tosh naqshli</t>
  </si>
  <si>
    <t xml:space="preserve">DSC03404</t>
  </si>
  <si>
    <t xml:space="preserve">Rombik yangi (kitobcha: Rombik 2)</t>
  </si>
  <si>
    <t xml:space="preserve">DSC03405</t>
  </si>
  <si>
    <t xml:space="preserve">Kichik to'rtburchak</t>
  </si>
  <si>
    <t xml:space="preserve">DSC03406</t>
  </si>
  <si>
    <t xml:space="preserve">DSC03407</t>
  </si>
  <si>
    <t xml:space="preserve">Sakkiz qirra: girih yulduz (DSC03392 bilan bir xil naqsh)</t>
  </si>
  <si>
    <t xml:space="preserve">DSC03408</t>
  </si>
  <si>
    <t xml:space="preserve">To'rtburchak, tosh teksturali</t>
  </si>
  <si>
    <t xml:space="preserve">DSC03409</t>
  </si>
  <si>
    <t xml:space="preserve">G'isht-to'r naqshli</t>
  </si>
  <si>
    <t xml:space="preserve">DSC03410</t>
  </si>
  <si>
    <t xml:space="preserve">Uzun, teksturali</t>
  </si>
  <si>
    <t xml:space="preserve">DSC03411</t>
  </si>
  <si>
    <t xml:space="preserve">Afina — uchburchak</t>
  </si>
  <si>
    <t xml:space="preserve">DSC03412</t>
  </si>
  <si>
    <t xml:space="preserve">DSC03413</t>
  </si>
  <si>
    <t xml:space="preserve">Eksklyuziv 30×30 ×4 / Astra (№79) — katta sakkiz qirra</t>
  </si>
  <si>
    <t xml:space="preserve">DSC03414</t>
  </si>
  <si>
    <t xml:space="preserve">Mozaika 20×20 ×2?</t>
  </si>
  <si>
    <t xml:space="preserve">Uch yo'lakli</t>
  </si>
  <si>
    <t xml:space="preserve">DSC03415</t>
  </si>
  <si>
    <t xml:space="preserve">4 katakli, naqshli</t>
  </si>
  <si>
    <t xml:space="preserve">DSC03416</t>
  </si>
  <si>
    <t xml:space="preserve">DSC03417</t>
  </si>
  <si>
    <t xml:space="preserve">Uzun tor, 2 qatorli</t>
  </si>
  <si>
    <t xml:space="preserve">DSC03418</t>
  </si>
  <si>
    <t xml:space="preserve">DSC03419</t>
  </si>
  <si>
    <t xml:space="preserve">Mumtoz yoki Marokesh — sherik (2 katakli)</t>
  </si>
  <si>
    <t xml:space="preserve">DSC03420</t>
  </si>
  <si>
    <t xml:space="preserve">DSC03421</t>
  </si>
  <si>
    <t xml:space="preserve">Kvadrat, piramida</t>
  </si>
  <si>
    <t xml:space="preserve">DSC03422</t>
  </si>
  <si>
    <t xml:space="preserve">Nomi noma'lum (kitobcha №3?)</t>
  </si>
  <si>
    <t xml:space="preserve">Kvadrat: pog'onali piramida</t>
  </si>
  <si>
    <t xml:space="preserve">DSC03423</t>
  </si>
  <si>
    <t xml:space="preserve">DSC03424</t>
  </si>
  <si>
    <t xml:space="preserve">DSC03425</t>
  </si>
  <si>
    <t xml:space="preserve">Versache 1 (kitobchada №75 Versachi)</t>
  </si>
  <si>
    <t xml:space="preserve">DSC03426</t>
  </si>
  <si>
    <t xml:space="preserve">4 tali g'isht, silliq</t>
  </si>
  <si>
    <t xml:space="preserve">Kitobchada yo'q; 6 tali gladkiy (№107) emas</t>
  </si>
  <si>
    <t xml:space="preserve">DSC03427</t>
  </si>
  <si>
    <t xml:space="preserve">4 tali kamen (№106)</t>
  </si>
  <si>
    <t xml:space="preserve">DSC03428</t>
  </si>
  <si>
    <t xml:space="preserve">Parket 15×60 (№16)</t>
  </si>
  <si>
    <t xml:space="preserve">Uzun, yog'och naqshli</t>
  </si>
  <si>
    <t xml:space="preserve">DSC03429</t>
  </si>
  <si>
    <t xml:space="preserve">Parus — to'rtburchak (boshqa o'lcham?)</t>
  </si>
  <si>
    <t xml:space="preserve">To'lqin naqshli</t>
  </si>
  <si>
    <t xml:space="preserve">DSC03430</t>
  </si>
  <si>
    <t xml:space="preserve">Nikolay gladkiy — asosiy (№83)</t>
  </si>
  <si>
    <t xml:space="preserve">DSC03431</t>
  </si>
  <si>
    <t xml:space="preserve">Afina — strelka</t>
  </si>
  <si>
    <t xml:space="preserve">DSC03432</t>
  </si>
  <si>
    <t xml:space="preserve">Buxoro — xoch</t>
  </si>
  <si>
    <t xml:space="preserve">DSC03433</t>
  </si>
  <si>
    <t xml:space="preserve">Palma — kichik qolip</t>
  </si>
  <si>
    <t xml:space="preserve">DSC03434</t>
  </si>
  <si>
    <t xml:space="preserve">Vindovs — keng egri qolip (B)</t>
  </si>
  <si>
    <t xml:space="preserve">DSC03435</t>
  </si>
  <si>
    <t xml:space="preserve">Aziya — sherik</t>
  </si>
  <si>
    <t xml:space="preserve">Katta to'rt yaproqli</t>
  </si>
  <si>
    <t xml:space="preserve">DSC03436</t>
  </si>
  <si>
    <t xml:space="preserve">Marokesh yoki Mumtoz — sherik (2 katakli)</t>
  </si>
  <si>
    <t xml:space="preserve">DSC03437</t>
  </si>
  <si>
    <t xml:space="preserve">DSC03438</t>
  </si>
  <si>
    <t xml:space="preserve">Chuqur, qovurg'a profilli katta qolip</t>
  </si>
  <si>
    <t xml:space="preserve">DSC03439</t>
  </si>
  <si>
    <t xml:space="preserve">Chuqur katta to'rtburchak, geometrik</t>
  </si>
  <si>
    <t xml:space="preserve">DSC03440</t>
  </si>
  <si>
    <t xml:space="preserve">DSC03441</t>
  </si>
  <si>
    <t xml:space="preserve">Nikolay shershavoe (№84)?</t>
  </si>
  <si>
    <t xml:space="preserve">DSC03442</t>
  </si>
  <si>
    <t xml:space="preserve">Kostochka (№88); Aleya 3 (№55) da ham shu shakl</t>
  </si>
  <si>
    <t xml:space="preserve">DSC03443</t>
  </si>
  <si>
    <t xml:space="preserve">Mumtoz — sherik (2 katakli, №7)</t>
  </si>
  <si>
    <t xml:space="preserve">DSC03444</t>
  </si>
  <si>
    <t xml:space="preserve">G'isht hoshiyali, ichida doira</t>
  </si>
  <si>
    <t xml:space="preserve">DSC03445</t>
  </si>
  <si>
    <t xml:space="preserve">Buxoro — cho'ziq qolip</t>
  </si>
  <si>
    <t xml:space="preserve">DSC03446</t>
  </si>
  <si>
    <t xml:space="preserve">Aziya 1 — asosiy (Aziya 2 da ham shu shakl)</t>
  </si>
  <si>
    <t xml:space="preserve">DSC03447</t>
  </si>
  <si>
    <t xml:space="preserve">4 tali travertin (№105)</t>
  </si>
  <si>
    <t xml:space="preserve">DSC03448</t>
  </si>
  <si>
    <t xml:space="preserve">Turkman guli 30×30 ×4 — asosiy</t>
  </si>
  <si>
    <t xml:space="preserve">Yoritilganda milliy naqsh va hoshiya aniq ko'rindi</t>
  </si>
  <si>
    <t xml:space="preserve">DSC03449</t>
  </si>
  <si>
    <t xml:space="preserve">DSC03450</t>
  </si>
  <si>
    <t xml:space="preserve">DSC03451</t>
  </si>
  <si>
    <t xml:space="preserve">Safir (№28)</t>
  </si>
  <si>
    <t xml:space="preserve">DSC03452</t>
  </si>
  <si>
    <t xml:space="preserve">Versachi (№81)</t>
  </si>
  <si>
    <t xml:space="preserve">DSC03453</t>
  </si>
  <si>
    <t xml:space="preserve">Yulduz — asosiy</t>
  </si>
  <si>
    <t xml:space="preserve">DSC03454</t>
  </si>
  <si>
    <t xml:space="preserve">3 katakli xochsimon, romblar bilan</t>
  </si>
  <si>
    <t xml:space="preserve">DSC03455</t>
  </si>
  <si>
    <t xml:space="preserve">Kabanchik 15×15 (2 katakli, №6 / №23)</t>
  </si>
  <si>
    <t xml:space="preserve">G'adir-budur</t>
  </si>
  <si>
    <t xml:space="preserve">DSC03456</t>
  </si>
  <si>
    <t xml:space="preserve">Nikolay shershavoe — asosiy (№84)</t>
  </si>
  <si>
    <t xml:space="preserve">DSC03457</t>
  </si>
  <si>
    <t xml:space="preserve">DSC03458</t>
  </si>
  <si>
    <t xml:space="preserve">4D — kvadrat (A)</t>
  </si>
  <si>
    <t xml:space="preserve">DSC03459</t>
  </si>
  <si>
    <t xml:space="preserve">3D Parus — sherik (strelka)</t>
  </si>
  <si>
    <t xml:space="preserve">DSC03460</t>
  </si>
  <si>
    <t xml:space="preserve">DSC03461</t>
  </si>
  <si>
    <t xml:space="preserve">Nikolay — sherik (2 katakli)?</t>
  </si>
  <si>
    <t xml:space="preserve">DSC03462</t>
  </si>
  <si>
    <t xml:space="preserve">DSC03463</t>
  </si>
  <si>
    <t xml:space="preserve">Aleya 2 — xoch (№54)</t>
  </si>
  <si>
    <t xml:space="preserve">DSC03464</t>
  </si>
  <si>
    <t xml:space="preserve">Dojdik 18×36 — asosiy</t>
  </si>
  <si>
    <t xml:space="preserve">DSC03467</t>
  </si>
  <si>
    <t xml:space="preserve">Ornament 18×36 yoki Dojdik — asosiy</t>
  </si>
  <si>
    <t xml:space="preserve">DSC03468</t>
  </si>
  <si>
    <t xml:space="preserve">Nomi noma'lum (4D varianti?)</t>
  </si>
  <si>
    <t xml:space="preserve">Cho'ziq olti qirra, ichida olti qirra</t>
  </si>
  <si>
    <t xml:space="preserve">DSC03470</t>
  </si>
  <si>
    <t xml:space="preserve">4D — sherik (2 katakli olti qirra)</t>
  </si>
  <si>
    <t xml:space="preserve">Fasad / termopanel</t>
  </si>
  <si>
    <t xml:space="preserve">O'lchamlar 93 / 80 / 60</t>
  </si>
  <si>
    <t xml:space="preserve">2-kadr. O'ngda shtativ qisqichi ko'rinadi</t>
  </si>
  <si>
    <t xml:space="preserve">Raqami qo'lyozmada aniq o'qilmagan. O'ngda shtativ qisqichi ko'rinadi</t>
  </si>
  <si>
    <t xml:space="preserve">Brilliant 25×50</t>
  </si>
  <si>
    <t xml:space="preserve">Quba 25×50</t>
  </si>
  <si>
    <t xml:space="preserve">Nomi o'qilmadi</t>
  </si>
  <si>
    <t xml:space="preserve">G'isht naqshli; varaqda "ABC 3,53" deb yozilgan</t>
  </si>
  <si>
    <t xml:space="preserve">Labirint 25×50</t>
  </si>
  <si>
    <t xml:space="preserve">Rus 2 25×50</t>
  </si>
  <si>
    <t xml:space="preserve">Rus 3 25×50</t>
  </si>
  <si>
    <t xml:space="preserve">Varaqda izoh yo'q. Fon o'chmagan — qayta tozalash kerak</t>
  </si>
  <si>
    <t xml:space="preserve">Varaqda izoh yo'q. Fon qoldig'i bor</t>
  </si>
  <si>
    <t xml:space="preserve">Sokol kalonna 20×75</t>
  </si>
  <si>
    <t xml:space="preserve">Sokol friz kubik 15×120</t>
  </si>
  <si>
    <t xml:space="preserve">Karniz 1 35×120</t>
  </si>
  <si>
    <t xml:space="preserve">Pilyastr 3 30×120</t>
  </si>
  <si>
    <t xml:space="preserve">Kalonna 40×120</t>
  </si>
  <si>
    <t xml:space="preserve">Sherigi bor. Fon o'chmagan — qayta tozalash kerak</t>
  </si>
  <si>
    <t xml:space="preserve">Menejer varag'ida yo'q. Fon o'chmagan — qayta tozalash kerak</t>
  </si>
  <si>
    <t xml:space="preserve">Beeline 3 40×120</t>
  </si>
  <si>
    <t xml:space="preserve">Varaqda chiziqcha. Fon o'chmagan — qayta tozalash kerak</t>
  </si>
  <si>
    <t xml:space="preserve">Rom karniz 1 18×120</t>
  </si>
  <si>
    <t xml:space="preserve">Sokol kalonna 20×100</t>
  </si>
  <si>
    <t xml:space="preserve">Sokol 65×80</t>
  </si>
  <si>
    <t xml:space="preserve">O'lcham aniq o'qilmagan. Fon qoldig'i bor</t>
  </si>
  <si>
    <t xml:space="preserve">Sokol 65×120</t>
  </si>
  <si>
    <t xml:space="preserve">Kalonna 40×120 — sherik?</t>
  </si>
  <si>
    <t xml:space="preserve">Varaqda × belgisi; raqam aniq o'qilmagan</t>
  </si>
  <si>
    <t xml:space="preserve">Bu surat varag'i (270–271-bet) kelmagan. Fon qoldig'i bor</t>
  </si>
  <si>
    <t xml:space="preserve">SPS PLAST fasad termopanel katalogi (2026–2027) — 76 ta mahsulot</t>
  </si>
  <si>
    <t xml:space="preserve">Manba: Archive.zip dagi fasad katalogi. Ranglar: Travertinoviy / Mramorniy; asos: Penoplast (TP guruhida Bazalt ham).</t>
  </si>
  <si>
    <t xml:space="preserve">Kod</t>
  </si>
  <si>
    <t xml:space="preserve">Nomi (katalogdagi sarlavha)</t>
  </si>
  <si>
    <t xml:space="preserve">O'lcham, mm</t>
  </si>
  <si>
    <t xml:space="preserve">TP-001</t>
  </si>
  <si>
    <t xml:space="preserve">30×60 Kirpich</t>
  </si>
  <si>
    <t xml:space="preserve">300×600</t>
  </si>
  <si>
    <t xml:space="preserve">10–11</t>
  </si>
  <si>
    <t xml:space="preserve">TP-002</t>
  </si>
  <si>
    <t xml:space="preserve">30×60 Gladkiy</t>
  </si>
  <si>
    <t xml:space="preserve">TP-003</t>
  </si>
  <si>
    <t xml:space="preserve">30×60 Beeline</t>
  </si>
  <si>
    <t xml:space="preserve">TP-004</t>
  </si>
  <si>
    <t xml:space="preserve">30×60 Kuba</t>
  </si>
  <si>
    <t xml:space="preserve">TP-005</t>
  </si>
  <si>
    <t xml:space="preserve">25×50 Pryamaya</t>
  </si>
  <si>
    <t xml:space="preserve">250×500</t>
  </si>
  <si>
    <t xml:space="preserve">12–13</t>
  </si>
  <si>
    <t xml:space="preserve">TP-006</t>
  </si>
  <si>
    <t xml:space="preserve">25×50 Kruglaya</t>
  </si>
  <si>
    <t xml:space="preserve">TP-007</t>
  </si>
  <si>
    <t xml:space="preserve">25×50 Kirpich</t>
  </si>
  <si>
    <t xml:space="preserve">TP-008</t>
  </si>
  <si>
    <t xml:space="preserve">25×50 3D</t>
  </si>
  <si>
    <t xml:space="preserve">TP-009</t>
  </si>
  <si>
    <t xml:space="preserve">25×50 Brilliant</t>
  </si>
  <si>
    <t xml:space="preserve">14–15</t>
  </si>
  <si>
    <t xml:space="preserve">TP-010</t>
  </si>
  <si>
    <t xml:space="preserve">25×50 Beeline</t>
  </si>
  <si>
    <t xml:space="preserve">TP-011</t>
  </si>
  <si>
    <t xml:space="preserve">20×40 Pryamaya</t>
  </si>
  <si>
    <t xml:space="preserve">Sarlavhada 20×40, o'lcham katagida 250×500</t>
  </si>
  <si>
    <t xml:space="preserve">TP-012</t>
  </si>
  <si>
    <t xml:space="preserve">25×50 Labirint</t>
  </si>
  <si>
    <t xml:space="preserve">FSD-001</t>
  </si>
  <si>
    <t xml:space="preserve">120×40 Dekor 1</t>
  </si>
  <si>
    <t xml:space="preserve">400×1200</t>
  </si>
  <si>
    <t xml:space="preserve">16–19</t>
  </si>
  <si>
    <t xml:space="preserve">FSD-002</t>
  </si>
  <si>
    <t xml:space="preserve">120×40 Dekor 2</t>
  </si>
  <si>
    <t xml:space="preserve">FSD-003</t>
  </si>
  <si>
    <t xml:space="preserve">120×40 Dekor 3</t>
  </si>
  <si>
    <t xml:space="preserve">FSD-004</t>
  </si>
  <si>
    <t xml:space="preserve">120×40 Dekor 4</t>
  </si>
  <si>
    <t xml:space="preserve">FSD-005</t>
  </si>
  <si>
    <t xml:space="preserve">120×40 Dekor 5</t>
  </si>
  <si>
    <t xml:space="preserve">FSD-006</t>
  </si>
  <si>
    <t xml:space="preserve">120×40 Dekor 6</t>
  </si>
  <si>
    <t xml:space="preserve">FSD-007</t>
  </si>
  <si>
    <t xml:space="preserve">120×40 Dekor 7</t>
  </si>
  <si>
    <t xml:space="preserve">FSD-008</t>
  </si>
  <si>
    <t xml:space="preserve">120×40 Dekor 8</t>
  </si>
  <si>
    <t xml:space="preserve">FSD-009</t>
  </si>
  <si>
    <t xml:space="preserve">100×50 Dekor 1</t>
  </si>
  <si>
    <t xml:space="preserve">500×1000</t>
  </si>
  <si>
    <t xml:space="preserve">20–21</t>
  </si>
  <si>
    <t xml:space="preserve">FSD-010</t>
  </si>
  <si>
    <t xml:space="preserve">100×50 Dekor 2</t>
  </si>
  <si>
    <t xml:space="preserve">FSD-011</t>
  </si>
  <si>
    <t xml:space="preserve">100×50 Dekor 3</t>
  </si>
  <si>
    <t xml:space="preserve">FSD-012</t>
  </si>
  <si>
    <t xml:space="preserve">80×40 Dekor 1</t>
  </si>
  <si>
    <t xml:space="preserve">400×800</t>
  </si>
  <si>
    <t xml:space="preserve">21–23</t>
  </si>
  <si>
    <t xml:space="preserve">FSD-013</t>
  </si>
  <si>
    <t xml:space="preserve">80×40 Dekor 2</t>
  </si>
  <si>
    <t xml:space="preserve">FSD-014</t>
  </si>
  <si>
    <t xml:space="preserve">80×40 Dekor 3</t>
  </si>
  <si>
    <t xml:space="preserve">FSD-015</t>
  </si>
  <si>
    <t xml:space="preserve">50×50 Dekor 1</t>
  </si>
  <si>
    <t xml:space="preserve">500×500</t>
  </si>
  <si>
    <t xml:space="preserve">22–23</t>
  </si>
  <si>
    <t xml:space="preserve">FSD-016</t>
  </si>
  <si>
    <t xml:space="preserve">50×50 Dekor 2</t>
  </si>
  <si>
    <t xml:space="preserve">BP-001</t>
  </si>
  <si>
    <t xml:space="preserve">120×40 Beeline 1</t>
  </si>
  <si>
    <t xml:space="preserve">24–25</t>
  </si>
  <si>
    <t xml:space="preserve">BP-002</t>
  </si>
  <si>
    <t xml:space="preserve">120×40 Beeline 2</t>
  </si>
  <si>
    <t xml:space="preserve">BP-003</t>
  </si>
  <si>
    <t xml:space="preserve">120×40 Beeline 3</t>
  </si>
  <si>
    <t xml:space="preserve">BP-004</t>
  </si>
  <si>
    <t xml:space="preserve">120×40 Beeline 4</t>
  </si>
  <si>
    <t xml:space="preserve">NL-001</t>
  </si>
  <si>
    <t xml:space="preserve">15×120 Tyaga</t>
  </si>
  <si>
    <t xml:space="preserve">150×1200</t>
  </si>
  <si>
    <t xml:space="preserve">26–27</t>
  </si>
  <si>
    <t xml:space="preserve">NL-002</t>
  </si>
  <si>
    <t xml:space="preserve">NL-003</t>
  </si>
  <si>
    <t xml:space="preserve">KRN-004</t>
  </si>
  <si>
    <t xml:space="preserve">18×120 Karniz</t>
  </si>
  <si>
    <t xml:space="preserve">180×1200</t>
  </si>
  <si>
    <t xml:space="preserve">KRN-004 kodi ikki marta ishlatilgan</t>
  </si>
  <si>
    <t xml:space="preserve">KRN-001</t>
  </si>
  <si>
    <t xml:space="preserve">28–29</t>
  </si>
  <si>
    <t xml:space="preserve">KRN-002</t>
  </si>
  <si>
    <t xml:space="preserve">KRN-003</t>
  </si>
  <si>
    <t xml:space="preserve">35×120 Karniz</t>
  </si>
  <si>
    <t xml:space="preserve">350×1200</t>
  </si>
  <si>
    <t xml:space="preserve">KRN-005</t>
  </si>
  <si>
    <t xml:space="preserve">30–31</t>
  </si>
  <si>
    <t xml:space="preserve">KRN-006</t>
  </si>
  <si>
    <t xml:space="preserve">50×120 Karniz</t>
  </si>
  <si>
    <t xml:space="preserve">500×1200</t>
  </si>
  <si>
    <t xml:space="preserve">KRN-007</t>
  </si>
  <si>
    <t xml:space="preserve">KRN-008</t>
  </si>
  <si>
    <t xml:space="preserve">30×120 Karniz</t>
  </si>
  <si>
    <t xml:space="preserve">300×1200</t>
  </si>
  <si>
    <t xml:space="preserve">KRN-009</t>
  </si>
  <si>
    <t xml:space="preserve">25×120 Karniz</t>
  </si>
  <si>
    <t xml:space="preserve">250×1200</t>
  </si>
  <si>
    <t xml:space="preserve">32–33</t>
  </si>
  <si>
    <t xml:space="preserve">KRN-010</t>
  </si>
  <si>
    <t xml:space="preserve">20×120 Karniz</t>
  </si>
  <si>
    <t xml:space="preserve">200×1200</t>
  </si>
  <si>
    <t xml:space="preserve">PL-002</t>
  </si>
  <si>
    <t xml:space="preserve">40×120 Pilyastra</t>
  </si>
  <si>
    <t xml:space="preserve">PL-001 katalogda yo'q</t>
  </si>
  <si>
    <t xml:space="preserve">PL-003</t>
  </si>
  <si>
    <t xml:space="preserve">PL-004</t>
  </si>
  <si>
    <t xml:space="preserve">40×120 Riflyoniy</t>
  </si>
  <si>
    <t xml:space="preserve">34–35</t>
  </si>
  <si>
    <t xml:space="preserve">PL-005</t>
  </si>
  <si>
    <t xml:space="preserve">30×120 Pilyastra</t>
  </si>
  <si>
    <t xml:space="preserve">PL-006</t>
  </si>
  <si>
    <t xml:space="preserve">10×120 Pilyastra</t>
  </si>
  <si>
    <t xml:space="preserve">100×1200</t>
  </si>
  <si>
    <t xml:space="preserve">PL-007</t>
  </si>
  <si>
    <t xml:space="preserve">20×120 Pilyastra</t>
  </si>
  <si>
    <t xml:space="preserve">PL-008</t>
  </si>
  <si>
    <t xml:space="preserve">36–37</t>
  </si>
  <si>
    <t xml:space="preserve">PL-009</t>
  </si>
  <si>
    <t xml:space="preserve">18×120 Nalichnik</t>
  </si>
  <si>
    <t xml:space="preserve">PL-010</t>
  </si>
  <si>
    <t xml:space="preserve">25×120 Pilyastra</t>
  </si>
  <si>
    <t xml:space="preserve">PL-011</t>
  </si>
  <si>
    <t xml:space="preserve">PL-012</t>
  </si>
  <si>
    <t xml:space="preserve">38–39</t>
  </si>
  <si>
    <t xml:space="preserve">PL-013</t>
  </si>
  <si>
    <t xml:space="preserve">50×120 Pilyastra</t>
  </si>
  <si>
    <t xml:space="preserve">PL-014</t>
  </si>
  <si>
    <t xml:space="preserve">PL-015</t>
  </si>
  <si>
    <t xml:space="preserve">KPL-001</t>
  </si>
  <si>
    <t xml:space="preserve">15 Kapitel baza</t>
  </si>
  <si>
    <t xml:space="preserve">125×200</t>
  </si>
  <si>
    <t xml:space="preserve">40–41</t>
  </si>
  <si>
    <t xml:space="preserve">KPL-002</t>
  </si>
  <si>
    <t xml:space="preserve">20 Kapitel baza</t>
  </si>
  <si>
    <t xml:space="preserve">125×250</t>
  </si>
  <si>
    <t xml:space="preserve">KPL-003</t>
  </si>
  <si>
    <t xml:space="preserve">25 Kapitel baza</t>
  </si>
  <si>
    <t xml:space="preserve">125×300</t>
  </si>
  <si>
    <t xml:space="preserve">KPL-004</t>
  </si>
  <si>
    <t xml:space="preserve">30 Kapitel baza</t>
  </si>
  <si>
    <t xml:space="preserve">125×350</t>
  </si>
  <si>
    <t xml:space="preserve">KPL-005</t>
  </si>
  <si>
    <t xml:space="preserve">40 Kapitel baza</t>
  </si>
  <si>
    <t xml:space="preserve">125×450</t>
  </si>
  <si>
    <t xml:space="preserve">42–43</t>
  </si>
  <si>
    <t xml:space="preserve">KPL-006</t>
  </si>
  <si>
    <t xml:space="preserve">50 Kapitel baza</t>
  </si>
  <si>
    <t xml:space="preserve">125×550</t>
  </si>
  <si>
    <t xml:space="preserve">KPL-007</t>
  </si>
  <si>
    <t xml:space="preserve">KPL-008</t>
  </si>
  <si>
    <t xml:space="preserve">KRN-011</t>
  </si>
  <si>
    <t xml:space="preserve">45×120 Karniz</t>
  </si>
  <si>
    <t xml:space="preserve">450×1200</t>
  </si>
  <si>
    <t xml:space="preserve">44–45</t>
  </si>
  <si>
    <t xml:space="preserve">KRN-012</t>
  </si>
  <si>
    <t xml:space="preserve">BP-005</t>
  </si>
  <si>
    <t xml:space="preserve">30×120 Beeline</t>
  </si>
  <si>
    <t xml:space="preserve">PL-016</t>
  </si>
  <si>
    <t xml:space="preserve">SL-001</t>
  </si>
  <si>
    <t xml:space="preserve">75×50 Sokol</t>
  </si>
  <si>
    <t xml:space="preserve">750×500</t>
  </si>
  <si>
    <t xml:space="preserve">46–47</t>
  </si>
  <si>
    <t xml:space="preserve">SL-002</t>
  </si>
  <si>
    <t xml:space="preserve">75×40 Sokol</t>
  </si>
  <si>
    <t xml:space="preserve">750×400</t>
  </si>
  <si>
    <t xml:space="preserve">SL-003</t>
  </si>
  <si>
    <t xml:space="preserve">60×40 Sokol</t>
  </si>
  <si>
    <t xml:space="preserve">600×400</t>
  </si>
  <si>
    <t xml:space="preserve">SL-004</t>
  </si>
  <si>
    <t xml:space="preserve">80×60 Sokol</t>
  </si>
  <si>
    <t xml:space="preserve">800×600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</si>
</sst>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"/>
    <numFmt numFmtId="167" formatCode="0.0#"/>
    <numFmt numFmtId="168" formatCode="\+0.00;\-0.00;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7F7F7"/>
        <bgColor rgb="FFFFFFFF"/>
      </patternFill>
    </fill>
    <fill>
      <patternFill patternType="solid">
        <fgColor rgb="FFEDEDED"/>
        <bgColor rgb="FFF7F7F7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1F1F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>
          <bgColor rgb="FFF8D7DA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22.3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20</v>
      </c>
    </row>
    <row r="27" customFormat="false" ht="22.3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6" min="6" style="0" width="30"/>
    <col collapsed="false" customWidth="true" hidden="false" outlineLevel="0" max="8" min="7" style="0" width="9"/>
    <col collapsed="false" customWidth="true" hidden="false" outlineLevel="0" max="10" min="9" style="0" width="11"/>
    <col collapsed="false" customWidth="true" hidden="false" outlineLevel="0" max="11" min="11" style="0" width="9"/>
    <col collapsed="false" customWidth="true" hidden="false" outlineLevel="0" max="13" min="12" style="0" width="10"/>
    <col collapsed="false" customWidth="true" hidden="false" outlineLevel="0" max="14" min="14" style="0" width="11"/>
    <col collapsed="false" customWidth="true" hidden="false" outlineLevel="0" max="15" min="15" style="0" width="16"/>
    <col collapsed="false" customWidth="true" hidden="false" outlineLevel="0" max="17" min="16" style="0" width="12"/>
    <col collapsed="false" customWidth="true" hidden="false" outlineLevel="0" max="18" min="18" style="0" width="9"/>
    <col collapsed="false" customWidth="true" hidden="false" outlineLevel="0" max="19" min="19" style="0" width="13"/>
    <col collapsed="false" customWidth="true" hidden="false" outlineLevel="0" max="20" min="20" style="0" width="9"/>
    <col collapsed="false" customWidth="true" hidden="false" outlineLevel="0" max="21" min="21" style="0" width="60"/>
  </cols>
  <sheetData>
    <row r="1" customFormat="false" ht="17.35" hidden="false" customHeight="false" outlineLevel="0" collapsed="false">
      <c r="A1" s="4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customFormat="false" ht="30" hidden="false" customHeight="true" outlineLevel="0" collapsed="false">
      <c r="A2" s="5" t="s">
        <v>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customFormat="false" ht="42" hidden="false" customHeight="true" outlineLevel="0" collapsed="false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43</v>
      </c>
      <c r="T3" s="6" t="s">
        <v>44</v>
      </c>
      <c r="U3" s="6" t="s">
        <v>45</v>
      </c>
    </row>
    <row r="4" customFormat="false" ht="15" hidden="false" customHeight="false" outlineLevel="0" collapsed="false">
      <c r="A4" s="7" t="n">
        <v>1</v>
      </c>
      <c r="B4" s="8" t="s">
        <v>46</v>
      </c>
      <c r="C4" s="9" t="s">
        <v>47</v>
      </c>
      <c r="D4" s="9" t="s">
        <v>48</v>
      </c>
      <c r="E4" s="9" t="s">
        <v>49</v>
      </c>
      <c r="F4" s="9" t="s">
        <v>50</v>
      </c>
      <c r="G4" s="7" t="n">
        <v>300</v>
      </c>
      <c r="H4" s="7" t="n">
        <v>300</v>
      </c>
      <c r="I4" s="7" t="n">
        <v>30</v>
      </c>
      <c r="J4" s="7" t="n">
        <v>11</v>
      </c>
      <c r="K4" s="7" t="n">
        <v>1</v>
      </c>
      <c r="L4" s="10" t="n">
        <v>11</v>
      </c>
      <c r="M4" s="7" t="n">
        <v>320</v>
      </c>
      <c r="N4" s="11" t="n">
        <f aca="false">L4*M4</f>
        <v>3520</v>
      </c>
      <c r="O4" s="9" t="s">
        <v>51</v>
      </c>
      <c r="P4" s="7" t="n">
        <v>3520</v>
      </c>
      <c r="Q4" s="11" t="n">
        <f aca="false">SUMIF($A$4:$A$114,A4,$N$4:$N$114)</f>
        <v>3520</v>
      </c>
      <c r="R4" s="11" t="n">
        <f aca="false">P4-Q4</f>
        <v>0</v>
      </c>
      <c r="S4" s="7" t="str">
        <f aca="false">IF(ABS(R4)&lt;=0.02*P4,"mos","MOS EMAS")</f>
        <v>mos</v>
      </c>
      <c r="T4" s="10" t="n">
        <f aca="false">P4/1000</f>
        <v>3.52</v>
      </c>
      <c r="U4" s="9"/>
    </row>
    <row r="5" customFormat="false" ht="15" hidden="false" customHeight="false" outlineLevel="0" collapsed="false">
      <c r="A5" s="12" t="n">
        <v>2</v>
      </c>
      <c r="B5" s="13" t="s">
        <v>52</v>
      </c>
      <c r="C5" s="14" t="s">
        <v>47</v>
      </c>
      <c r="D5" s="14" t="s">
        <v>48</v>
      </c>
      <c r="E5" s="14" t="s">
        <v>49</v>
      </c>
      <c r="F5" s="14" t="s">
        <v>50</v>
      </c>
      <c r="G5" s="12" t="n">
        <v>300</v>
      </c>
      <c r="H5" s="12" t="n">
        <v>300</v>
      </c>
      <c r="I5" s="12" t="n">
        <v>30</v>
      </c>
      <c r="J5" s="12" t="n">
        <v>11</v>
      </c>
      <c r="K5" s="12" t="n">
        <v>1</v>
      </c>
      <c r="L5" s="15" t="n">
        <v>11</v>
      </c>
      <c r="M5" s="12" t="n">
        <v>385</v>
      </c>
      <c r="N5" s="16" t="n">
        <f aca="false">L5*M5</f>
        <v>4235</v>
      </c>
      <c r="O5" s="14" t="s">
        <v>51</v>
      </c>
      <c r="P5" s="12" t="n">
        <v>4235</v>
      </c>
      <c r="Q5" s="16" t="n">
        <f aca="false">SUMIF($A$4:$A$114,A5,$N$4:$N$114)</f>
        <v>4235</v>
      </c>
      <c r="R5" s="16" t="n">
        <f aca="false">P5-Q5</f>
        <v>0</v>
      </c>
      <c r="S5" s="12" t="str">
        <f aca="false">IF(ABS(R5)&lt;=0.02*P5,"mos","MOS EMAS")</f>
        <v>mos</v>
      </c>
      <c r="T5" s="15" t="n">
        <f aca="false">P5/1000</f>
        <v>4.235</v>
      </c>
      <c r="U5" s="14"/>
    </row>
    <row r="6" customFormat="false" ht="15" hidden="false" customHeight="false" outlineLevel="0" collapsed="false">
      <c r="A6" s="7" t="n">
        <v>3</v>
      </c>
      <c r="B6" s="8" t="s">
        <v>53</v>
      </c>
      <c r="C6" s="9" t="s">
        <v>47</v>
      </c>
      <c r="D6" s="9" t="s">
        <v>48</v>
      </c>
      <c r="E6" s="9" t="s">
        <v>49</v>
      </c>
      <c r="F6" s="9" t="s">
        <v>50</v>
      </c>
      <c r="G6" s="7" t="n">
        <v>300</v>
      </c>
      <c r="H6" s="7" t="n">
        <v>300</v>
      </c>
      <c r="I6" s="7" t="n">
        <v>30</v>
      </c>
      <c r="J6" s="7" t="n">
        <v>11</v>
      </c>
      <c r="K6" s="7" t="n">
        <v>1</v>
      </c>
      <c r="L6" s="10" t="n">
        <v>11</v>
      </c>
      <c r="M6" s="7" t="n">
        <v>330</v>
      </c>
      <c r="N6" s="11" t="n">
        <f aca="false">L6*M6</f>
        <v>3630</v>
      </c>
      <c r="O6" s="9" t="s">
        <v>51</v>
      </c>
      <c r="P6" s="7" t="n">
        <v>3630</v>
      </c>
      <c r="Q6" s="11" t="n">
        <f aca="false">SUMIF($A$4:$A$114,A6,$N$4:$N$114)</f>
        <v>3630</v>
      </c>
      <c r="R6" s="11" t="n">
        <f aca="false">P6-Q6</f>
        <v>0</v>
      </c>
      <c r="S6" s="7" t="str">
        <f aca="false">IF(ABS(R6)&lt;=0.02*P6,"mos","MOS EMAS")</f>
        <v>mos</v>
      </c>
      <c r="T6" s="10" t="n">
        <f aca="false">P6/1000</f>
        <v>3.63</v>
      </c>
      <c r="U6" s="9"/>
    </row>
    <row r="7" customFormat="false" ht="15" hidden="false" customHeight="false" outlineLevel="0" collapsed="false">
      <c r="A7" s="12" t="n">
        <v>4</v>
      </c>
      <c r="B7" s="13" t="s">
        <v>54</v>
      </c>
      <c r="C7" s="14" t="s">
        <v>47</v>
      </c>
      <c r="D7" s="14" t="s">
        <v>48</v>
      </c>
      <c r="E7" s="14" t="s">
        <v>49</v>
      </c>
      <c r="F7" s="14" t="s">
        <v>50</v>
      </c>
      <c r="G7" s="12" t="n">
        <v>300</v>
      </c>
      <c r="H7" s="12" t="n">
        <v>300</v>
      </c>
      <c r="I7" s="12" t="n">
        <v>30</v>
      </c>
      <c r="J7" s="12" t="n">
        <v>11</v>
      </c>
      <c r="K7" s="12" t="n">
        <v>1</v>
      </c>
      <c r="L7" s="15" t="n">
        <v>11</v>
      </c>
      <c r="M7" s="12" t="n">
        <v>370</v>
      </c>
      <c r="N7" s="16" t="n">
        <f aca="false">L7*M7</f>
        <v>4070</v>
      </c>
      <c r="O7" s="14" t="s">
        <v>51</v>
      </c>
      <c r="P7" s="12" t="n">
        <v>4070</v>
      </c>
      <c r="Q7" s="16" t="n">
        <f aca="false">SUMIF($A$4:$A$114,A7,$N$4:$N$114)</f>
        <v>4070</v>
      </c>
      <c r="R7" s="16" t="n">
        <f aca="false">P7-Q7</f>
        <v>0</v>
      </c>
      <c r="S7" s="12" t="str">
        <f aca="false">IF(ABS(R7)&lt;=0.02*P7,"mos","MOS EMAS")</f>
        <v>mos</v>
      </c>
      <c r="T7" s="15" t="n">
        <f aca="false">P7/1000</f>
        <v>4.07</v>
      </c>
      <c r="U7" s="14"/>
    </row>
    <row r="8" customFormat="false" ht="15" hidden="false" customHeight="false" outlineLevel="0" collapsed="false">
      <c r="A8" s="7" t="n">
        <v>5</v>
      </c>
      <c r="B8" s="8" t="s">
        <v>55</v>
      </c>
      <c r="C8" s="9" t="s">
        <v>47</v>
      </c>
      <c r="D8" s="9" t="s">
        <v>48</v>
      </c>
      <c r="E8" s="9" t="s">
        <v>49</v>
      </c>
      <c r="F8" s="9" t="s">
        <v>50</v>
      </c>
      <c r="G8" s="7" t="n">
        <v>300</v>
      </c>
      <c r="H8" s="7" t="n">
        <v>300</v>
      </c>
      <c r="I8" s="7" t="n">
        <v>30</v>
      </c>
      <c r="J8" s="7" t="n">
        <v>11</v>
      </c>
      <c r="K8" s="7" t="n">
        <v>1</v>
      </c>
      <c r="L8" s="10" t="n">
        <v>11</v>
      </c>
      <c r="M8" s="7" t="n">
        <v>340</v>
      </c>
      <c r="N8" s="11" t="n">
        <f aca="false">L8*M8</f>
        <v>3740</v>
      </c>
      <c r="O8" s="9" t="s">
        <v>51</v>
      </c>
      <c r="P8" s="7" t="n">
        <v>3740</v>
      </c>
      <c r="Q8" s="11" t="n">
        <f aca="false">SUMIF($A$4:$A$114,A8,$N$4:$N$114)</f>
        <v>3740</v>
      </c>
      <c r="R8" s="11" t="n">
        <f aca="false">P8-Q8</f>
        <v>0</v>
      </c>
      <c r="S8" s="7" t="str">
        <f aca="false">IF(ABS(R8)&lt;=0.02*P8,"mos","MOS EMAS")</f>
        <v>mos</v>
      </c>
      <c r="T8" s="10" t="n">
        <f aca="false">P8/1000</f>
        <v>3.74</v>
      </c>
      <c r="U8" s="9"/>
    </row>
    <row r="9" customFormat="false" ht="15" hidden="false" customHeight="false" outlineLevel="0" collapsed="false">
      <c r="A9" s="12" t="n">
        <v>6</v>
      </c>
      <c r="B9" s="13" t="s">
        <v>56</v>
      </c>
      <c r="C9" s="14" t="s">
        <v>47</v>
      </c>
      <c r="D9" s="14" t="s">
        <v>48</v>
      </c>
      <c r="E9" s="14" t="s">
        <v>49</v>
      </c>
      <c r="F9" s="14" t="s">
        <v>50</v>
      </c>
      <c r="G9" s="12" t="n">
        <v>300</v>
      </c>
      <c r="H9" s="12" t="n">
        <v>300</v>
      </c>
      <c r="I9" s="12" t="n">
        <v>30</v>
      </c>
      <c r="J9" s="12" t="n">
        <v>11</v>
      </c>
      <c r="K9" s="12" t="n">
        <v>1</v>
      </c>
      <c r="L9" s="15" t="n">
        <v>11</v>
      </c>
      <c r="M9" s="12" t="n">
        <v>340</v>
      </c>
      <c r="N9" s="16" t="n">
        <f aca="false">L9*M9</f>
        <v>3740</v>
      </c>
      <c r="O9" s="14" t="s">
        <v>51</v>
      </c>
      <c r="P9" s="12" t="n">
        <v>3740</v>
      </c>
      <c r="Q9" s="16" t="n">
        <f aca="false">SUMIF($A$4:$A$114,A9,$N$4:$N$114)</f>
        <v>3740</v>
      </c>
      <c r="R9" s="16" t="n">
        <f aca="false">P9-Q9</f>
        <v>0</v>
      </c>
      <c r="S9" s="12" t="str">
        <f aca="false">IF(ABS(R9)&lt;=0.02*P9,"mos","MOS EMAS")</f>
        <v>mos</v>
      </c>
      <c r="T9" s="15" t="n">
        <f aca="false">P9/1000</f>
        <v>3.74</v>
      </c>
      <c r="U9" s="14"/>
    </row>
    <row r="10" customFormat="false" ht="15" hidden="false" customHeight="false" outlineLevel="0" collapsed="false">
      <c r="A10" s="7" t="n">
        <v>7</v>
      </c>
      <c r="B10" s="8" t="s">
        <v>57</v>
      </c>
      <c r="C10" s="9" t="s">
        <v>47</v>
      </c>
      <c r="D10" s="9" t="s">
        <v>48</v>
      </c>
      <c r="E10" s="9" t="s">
        <v>49</v>
      </c>
      <c r="F10" s="9" t="s">
        <v>50</v>
      </c>
      <c r="G10" s="7" t="n">
        <v>300</v>
      </c>
      <c r="H10" s="7" t="n">
        <v>300</v>
      </c>
      <c r="I10" s="7" t="n">
        <v>30</v>
      </c>
      <c r="J10" s="7" t="n">
        <v>11</v>
      </c>
      <c r="K10" s="7" t="n">
        <v>1</v>
      </c>
      <c r="L10" s="10" t="n">
        <v>11</v>
      </c>
      <c r="M10" s="7" t="n">
        <v>375</v>
      </c>
      <c r="N10" s="11" t="n">
        <f aca="false">L10*M10</f>
        <v>4125</v>
      </c>
      <c r="O10" s="9" t="s">
        <v>51</v>
      </c>
      <c r="P10" s="7" t="n">
        <v>4125</v>
      </c>
      <c r="Q10" s="11" t="n">
        <f aca="false">SUMIF($A$4:$A$114,A10,$N$4:$N$114)</f>
        <v>4125</v>
      </c>
      <c r="R10" s="11" t="n">
        <f aca="false">P10-Q10</f>
        <v>0</v>
      </c>
      <c r="S10" s="7" t="str">
        <f aca="false">IF(ABS(R10)&lt;=0.02*P10,"mos","MOS EMAS")</f>
        <v>mos</v>
      </c>
      <c r="T10" s="10" t="n">
        <f aca="false">P10/1000</f>
        <v>4.125</v>
      </c>
      <c r="U10" s="9"/>
    </row>
    <row r="11" customFormat="false" ht="15" hidden="false" customHeight="false" outlineLevel="0" collapsed="false">
      <c r="A11" s="12" t="n">
        <v>8</v>
      </c>
      <c r="B11" s="13" t="s">
        <v>58</v>
      </c>
      <c r="C11" s="14" t="s">
        <v>47</v>
      </c>
      <c r="D11" s="14" t="s">
        <v>48</v>
      </c>
      <c r="E11" s="14" t="s">
        <v>49</v>
      </c>
      <c r="F11" s="14" t="s">
        <v>50</v>
      </c>
      <c r="G11" s="12" t="n">
        <v>300</v>
      </c>
      <c r="H11" s="12" t="n">
        <v>300</v>
      </c>
      <c r="I11" s="12" t="n">
        <v>30</v>
      </c>
      <c r="J11" s="12" t="n">
        <v>11</v>
      </c>
      <c r="K11" s="12" t="n">
        <v>1</v>
      </c>
      <c r="L11" s="15" t="n">
        <v>11</v>
      </c>
      <c r="M11" s="12" t="n">
        <v>385</v>
      </c>
      <c r="N11" s="16" t="n">
        <f aca="false">L11*M11</f>
        <v>4235</v>
      </c>
      <c r="O11" s="14" t="s">
        <v>51</v>
      </c>
      <c r="P11" s="12" t="n">
        <v>4235</v>
      </c>
      <c r="Q11" s="16" t="n">
        <f aca="false">SUMIF($A$4:$A$114,A11,$N$4:$N$114)</f>
        <v>4235</v>
      </c>
      <c r="R11" s="16" t="n">
        <f aca="false">P11-Q11</f>
        <v>0</v>
      </c>
      <c r="S11" s="12" t="str">
        <f aca="false">IF(ABS(R11)&lt;=0.02*P11,"mos","MOS EMAS")</f>
        <v>mos</v>
      </c>
      <c r="T11" s="15" t="n">
        <f aca="false">P11/1000</f>
        <v>4.235</v>
      </c>
      <c r="U11" s="14"/>
    </row>
    <row r="12" customFormat="false" ht="15" hidden="false" customHeight="false" outlineLevel="0" collapsed="false">
      <c r="A12" s="7" t="n">
        <v>9</v>
      </c>
      <c r="B12" s="8" t="s">
        <v>59</v>
      </c>
      <c r="C12" s="9" t="s">
        <v>47</v>
      </c>
      <c r="D12" s="9" t="s">
        <v>48</v>
      </c>
      <c r="E12" s="9" t="s">
        <v>49</v>
      </c>
      <c r="F12" s="9" t="s">
        <v>50</v>
      </c>
      <c r="G12" s="7" t="n">
        <v>300</v>
      </c>
      <c r="H12" s="7" t="n">
        <v>300</v>
      </c>
      <c r="I12" s="7" t="n">
        <v>30</v>
      </c>
      <c r="J12" s="7" t="n">
        <v>11</v>
      </c>
      <c r="K12" s="7" t="n">
        <v>1</v>
      </c>
      <c r="L12" s="10" t="n">
        <v>11</v>
      </c>
      <c r="M12" s="7" t="n">
        <v>360</v>
      </c>
      <c r="N12" s="11" t="n">
        <f aca="false">L12*M12</f>
        <v>3960</v>
      </c>
      <c r="O12" s="9" t="s">
        <v>51</v>
      </c>
      <c r="P12" s="7" t="n">
        <v>3960</v>
      </c>
      <c r="Q12" s="11" t="n">
        <f aca="false">SUMIF($A$4:$A$114,A12,$N$4:$N$114)</f>
        <v>3960</v>
      </c>
      <c r="R12" s="11" t="n">
        <f aca="false">P12-Q12</f>
        <v>0</v>
      </c>
      <c r="S12" s="7" t="str">
        <f aca="false">IF(ABS(R12)&lt;=0.02*P12,"mos","MOS EMAS")</f>
        <v>mos</v>
      </c>
      <c r="T12" s="10" t="n">
        <f aca="false">P12/1000</f>
        <v>3.96</v>
      </c>
      <c r="U12" s="9"/>
    </row>
    <row r="13" customFormat="false" ht="15" hidden="false" customHeight="false" outlineLevel="0" collapsed="false">
      <c r="A13" s="12" t="n">
        <v>10</v>
      </c>
      <c r="B13" s="13" t="s">
        <v>60</v>
      </c>
      <c r="C13" s="14" t="s">
        <v>47</v>
      </c>
      <c r="D13" s="14" t="s">
        <v>48</v>
      </c>
      <c r="E13" s="14" t="s">
        <v>49</v>
      </c>
      <c r="F13" s="14" t="s">
        <v>50</v>
      </c>
      <c r="G13" s="12" t="n">
        <v>300</v>
      </c>
      <c r="H13" s="12" t="n">
        <v>300</v>
      </c>
      <c r="I13" s="12" t="n">
        <v>30</v>
      </c>
      <c r="J13" s="12" t="n">
        <v>11</v>
      </c>
      <c r="K13" s="12" t="n">
        <v>1</v>
      </c>
      <c r="L13" s="15" t="n">
        <v>11</v>
      </c>
      <c r="M13" s="12" t="n">
        <v>375</v>
      </c>
      <c r="N13" s="16" t="n">
        <f aca="false">L13*M13</f>
        <v>4125</v>
      </c>
      <c r="O13" s="14" t="s">
        <v>51</v>
      </c>
      <c r="P13" s="12" t="n">
        <v>4125</v>
      </c>
      <c r="Q13" s="16" t="n">
        <f aca="false">SUMIF($A$4:$A$114,A13,$N$4:$N$114)</f>
        <v>4125</v>
      </c>
      <c r="R13" s="16" t="n">
        <f aca="false">P13-Q13</f>
        <v>0</v>
      </c>
      <c r="S13" s="12" t="str">
        <f aca="false">IF(ABS(R13)&lt;=0.02*P13,"mos","MOS EMAS")</f>
        <v>mos</v>
      </c>
      <c r="T13" s="15" t="n">
        <f aca="false">P13/1000</f>
        <v>4.125</v>
      </c>
      <c r="U13" s="14"/>
    </row>
    <row r="14" customFormat="false" ht="15" hidden="false" customHeight="false" outlineLevel="0" collapsed="false">
      <c r="A14" s="7" t="n">
        <v>11</v>
      </c>
      <c r="B14" s="8" t="s">
        <v>61</v>
      </c>
      <c r="C14" s="9" t="s">
        <v>47</v>
      </c>
      <c r="D14" s="9" t="s">
        <v>48</v>
      </c>
      <c r="E14" s="9" t="s">
        <v>49</v>
      </c>
      <c r="F14" s="9" t="s">
        <v>50</v>
      </c>
      <c r="G14" s="7" t="n">
        <v>300</v>
      </c>
      <c r="H14" s="7" t="n">
        <v>300</v>
      </c>
      <c r="I14" s="7" t="n">
        <v>30</v>
      </c>
      <c r="J14" s="7" t="n">
        <v>11</v>
      </c>
      <c r="K14" s="7" t="n">
        <v>1</v>
      </c>
      <c r="L14" s="10" t="n">
        <v>11</v>
      </c>
      <c r="M14" s="7" t="n">
        <v>320</v>
      </c>
      <c r="N14" s="11" t="n">
        <f aca="false">L14*M14</f>
        <v>3520</v>
      </c>
      <c r="O14" s="9" t="s">
        <v>51</v>
      </c>
      <c r="P14" s="7" t="n">
        <v>3520</v>
      </c>
      <c r="Q14" s="11" t="n">
        <f aca="false">SUMIF($A$4:$A$114,A14,$N$4:$N$114)</f>
        <v>3520</v>
      </c>
      <c r="R14" s="11" t="n">
        <f aca="false">P14-Q14</f>
        <v>0</v>
      </c>
      <c r="S14" s="7" t="str">
        <f aca="false">IF(ABS(R14)&lt;=0.02*P14,"mos","MOS EMAS")</f>
        <v>mos</v>
      </c>
      <c r="T14" s="10" t="n">
        <f aca="false">P14/1000</f>
        <v>3.52</v>
      </c>
      <c r="U14" s="9"/>
    </row>
    <row r="15" customFormat="false" ht="15" hidden="false" customHeight="false" outlineLevel="0" collapsed="false">
      <c r="A15" s="12" t="n">
        <v>12</v>
      </c>
      <c r="B15" s="13" t="s">
        <v>62</v>
      </c>
      <c r="C15" s="14" t="s">
        <v>47</v>
      </c>
      <c r="D15" s="14" t="s">
        <v>48</v>
      </c>
      <c r="E15" s="14" t="s">
        <v>49</v>
      </c>
      <c r="F15" s="14" t="s">
        <v>50</v>
      </c>
      <c r="G15" s="12" t="n">
        <v>300</v>
      </c>
      <c r="H15" s="12" t="n">
        <v>300</v>
      </c>
      <c r="I15" s="12" t="n">
        <v>30</v>
      </c>
      <c r="J15" s="12" t="n">
        <v>11</v>
      </c>
      <c r="K15" s="12" t="n">
        <v>1</v>
      </c>
      <c r="L15" s="15" t="n">
        <v>11</v>
      </c>
      <c r="M15" s="12" t="n">
        <v>330</v>
      </c>
      <c r="N15" s="16" t="n">
        <f aca="false">L15*M15</f>
        <v>3630</v>
      </c>
      <c r="O15" s="14" t="s">
        <v>51</v>
      </c>
      <c r="P15" s="12" t="n">
        <v>3630</v>
      </c>
      <c r="Q15" s="16" t="n">
        <f aca="false">SUMIF($A$4:$A$114,A15,$N$4:$N$114)</f>
        <v>3630</v>
      </c>
      <c r="R15" s="16" t="n">
        <f aca="false">P15-Q15</f>
        <v>0</v>
      </c>
      <c r="S15" s="12" t="str">
        <f aca="false">IF(ABS(R15)&lt;=0.02*P15,"mos","MOS EMAS")</f>
        <v>mos</v>
      </c>
      <c r="T15" s="15" t="n">
        <f aca="false">P15/1000</f>
        <v>3.63</v>
      </c>
      <c r="U15" s="14"/>
    </row>
    <row r="16" customFormat="false" ht="15" hidden="false" customHeight="false" outlineLevel="0" collapsed="false">
      <c r="A16" s="7" t="n">
        <v>13</v>
      </c>
      <c r="B16" s="8" t="s">
        <v>63</v>
      </c>
      <c r="C16" s="9" t="s">
        <v>47</v>
      </c>
      <c r="D16" s="9" t="s">
        <v>48</v>
      </c>
      <c r="E16" s="9" t="s">
        <v>49</v>
      </c>
      <c r="F16" s="9" t="s">
        <v>50</v>
      </c>
      <c r="G16" s="7" t="n">
        <v>300</v>
      </c>
      <c r="H16" s="7" t="n">
        <v>300</v>
      </c>
      <c r="I16" s="7" t="n">
        <v>30</v>
      </c>
      <c r="J16" s="7" t="n">
        <v>11</v>
      </c>
      <c r="K16" s="7" t="n">
        <v>1</v>
      </c>
      <c r="L16" s="10" t="n">
        <v>11</v>
      </c>
      <c r="M16" s="7" t="n">
        <v>360</v>
      </c>
      <c r="N16" s="11" t="n">
        <f aca="false">L16*M16</f>
        <v>3960</v>
      </c>
      <c r="O16" s="9" t="s">
        <v>51</v>
      </c>
      <c r="P16" s="7" t="n">
        <v>3960</v>
      </c>
      <c r="Q16" s="11" t="n">
        <f aca="false">SUMIF($A$4:$A$114,A16,$N$4:$N$114)</f>
        <v>3960</v>
      </c>
      <c r="R16" s="11" t="n">
        <f aca="false">P16-Q16</f>
        <v>0</v>
      </c>
      <c r="S16" s="7" t="str">
        <f aca="false">IF(ABS(R16)&lt;=0.02*P16,"mos","MOS EMAS")</f>
        <v>mos</v>
      </c>
      <c r="T16" s="10" t="n">
        <f aca="false">P16/1000</f>
        <v>3.96</v>
      </c>
      <c r="U16" s="9"/>
    </row>
    <row r="17" customFormat="false" ht="15" hidden="false" customHeight="false" outlineLevel="0" collapsed="false">
      <c r="A17" s="12" t="n">
        <v>14</v>
      </c>
      <c r="B17" s="13" t="s">
        <v>64</v>
      </c>
      <c r="C17" s="14" t="s">
        <v>47</v>
      </c>
      <c r="D17" s="14" t="s">
        <v>48</v>
      </c>
      <c r="E17" s="14" t="s">
        <v>49</v>
      </c>
      <c r="F17" s="14" t="s">
        <v>50</v>
      </c>
      <c r="G17" s="12" t="n">
        <v>300</v>
      </c>
      <c r="H17" s="12" t="n">
        <v>300</v>
      </c>
      <c r="I17" s="12" t="n">
        <v>30</v>
      </c>
      <c r="J17" s="12" t="n">
        <v>11</v>
      </c>
      <c r="K17" s="12" t="n">
        <v>1</v>
      </c>
      <c r="L17" s="15" t="n">
        <v>11</v>
      </c>
      <c r="M17" s="12" t="n">
        <v>375</v>
      </c>
      <c r="N17" s="16" t="n">
        <f aca="false">L17*M17</f>
        <v>4125</v>
      </c>
      <c r="O17" s="14" t="s">
        <v>51</v>
      </c>
      <c r="P17" s="12" t="n">
        <v>4125</v>
      </c>
      <c r="Q17" s="16" t="n">
        <f aca="false">SUMIF($A$4:$A$114,A17,$N$4:$N$114)</f>
        <v>4125</v>
      </c>
      <c r="R17" s="16" t="n">
        <f aca="false">P17-Q17</f>
        <v>0</v>
      </c>
      <c r="S17" s="12" t="str">
        <f aca="false">IF(ABS(R17)&lt;=0.02*P17,"mos","MOS EMAS")</f>
        <v>mos</v>
      </c>
      <c r="T17" s="15" t="n">
        <f aca="false">P17/1000</f>
        <v>4.125</v>
      </c>
      <c r="U17" s="14"/>
    </row>
    <row r="18" customFormat="false" ht="15" hidden="false" customHeight="false" outlineLevel="0" collapsed="false">
      <c r="A18" s="7" t="n">
        <v>15</v>
      </c>
      <c r="B18" s="8" t="s">
        <v>65</v>
      </c>
      <c r="C18" s="9" t="s">
        <v>47</v>
      </c>
      <c r="D18" s="9" t="s">
        <v>48</v>
      </c>
      <c r="E18" s="9" t="s">
        <v>49</v>
      </c>
      <c r="F18" s="9" t="s">
        <v>50</v>
      </c>
      <c r="G18" s="7" t="n">
        <v>300</v>
      </c>
      <c r="H18" s="7" t="n">
        <v>300</v>
      </c>
      <c r="I18" s="7" t="n">
        <v>30</v>
      </c>
      <c r="J18" s="7" t="n">
        <v>11</v>
      </c>
      <c r="K18" s="7" t="n">
        <v>1</v>
      </c>
      <c r="L18" s="10" t="n">
        <v>11</v>
      </c>
      <c r="M18" s="7" t="n">
        <v>320</v>
      </c>
      <c r="N18" s="11" t="n">
        <f aca="false">L18*M18</f>
        <v>3520</v>
      </c>
      <c r="O18" s="9" t="s">
        <v>51</v>
      </c>
      <c r="P18" s="7" t="n">
        <v>3520</v>
      </c>
      <c r="Q18" s="11" t="n">
        <f aca="false">SUMIF($A$4:$A$114,A18,$N$4:$N$114)</f>
        <v>3520</v>
      </c>
      <c r="R18" s="11" t="n">
        <f aca="false">P18-Q18</f>
        <v>0</v>
      </c>
      <c r="S18" s="7" t="str">
        <f aca="false">IF(ABS(R18)&lt;=0.02*P18,"mos","MOS EMAS")</f>
        <v>mos</v>
      </c>
      <c r="T18" s="10" t="n">
        <f aca="false">P18/1000</f>
        <v>3.52</v>
      </c>
      <c r="U18" s="9"/>
    </row>
    <row r="19" customFormat="false" ht="15" hidden="false" customHeight="false" outlineLevel="0" collapsed="false">
      <c r="A19" s="12" t="n">
        <v>16</v>
      </c>
      <c r="B19" s="13" t="s">
        <v>66</v>
      </c>
      <c r="C19" s="14" t="s">
        <v>47</v>
      </c>
      <c r="D19" s="14" t="s">
        <v>48</v>
      </c>
      <c r="E19" s="14" t="s">
        <v>49</v>
      </c>
      <c r="F19" s="14" t="s">
        <v>50</v>
      </c>
      <c r="G19" s="12" t="n">
        <v>300</v>
      </c>
      <c r="H19" s="12" t="n">
        <v>300</v>
      </c>
      <c r="I19" s="12" t="n">
        <v>30</v>
      </c>
      <c r="J19" s="12" t="n">
        <v>11</v>
      </c>
      <c r="K19" s="12" t="n">
        <v>1</v>
      </c>
      <c r="L19" s="15" t="n">
        <v>11</v>
      </c>
      <c r="M19" s="12" t="n">
        <v>320</v>
      </c>
      <c r="N19" s="16" t="n">
        <f aca="false">L19*M19</f>
        <v>3520</v>
      </c>
      <c r="O19" s="14" t="s">
        <v>51</v>
      </c>
      <c r="P19" s="12" t="n">
        <v>3520</v>
      </c>
      <c r="Q19" s="16" t="n">
        <f aca="false">SUMIF($A$4:$A$114,A19,$N$4:$N$114)</f>
        <v>3520</v>
      </c>
      <c r="R19" s="16" t="n">
        <f aca="false">P19-Q19</f>
        <v>0</v>
      </c>
      <c r="S19" s="12" t="str">
        <f aca="false">IF(ABS(R19)&lt;=0.02*P19,"mos","MOS EMAS")</f>
        <v>mos</v>
      </c>
      <c r="T19" s="15" t="n">
        <f aca="false">P19/1000</f>
        <v>3.52</v>
      </c>
      <c r="U19" s="14"/>
    </row>
    <row r="20" customFormat="false" ht="15" hidden="false" customHeight="false" outlineLevel="0" collapsed="false">
      <c r="A20" s="7" t="n">
        <v>17</v>
      </c>
      <c r="B20" s="8" t="s">
        <v>67</v>
      </c>
      <c r="C20" s="9" t="s">
        <v>47</v>
      </c>
      <c r="D20" s="9" t="s">
        <v>48</v>
      </c>
      <c r="E20" s="9" t="s">
        <v>49</v>
      </c>
      <c r="F20" s="9" t="s">
        <v>50</v>
      </c>
      <c r="G20" s="7" t="n">
        <v>300</v>
      </c>
      <c r="H20" s="7" t="n">
        <v>300</v>
      </c>
      <c r="I20" s="7" t="n">
        <v>30</v>
      </c>
      <c r="J20" s="7" t="n">
        <v>11</v>
      </c>
      <c r="K20" s="7" t="n">
        <v>1</v>
      </c>
      <c r="L20" s="10" t="n">
        <v>11</v>
      </c>
      <c r="M20" s="7" t="n">
        <v>380</v>
      </c>
      <c r="N20" s="11" t="n">
        <f aca="false">L20*M20</f>
        <v>4180</v>
      </c>
      <c r="O20" s="9" t="s">
        <v>51</v>
      </c>
      <c r="P20" s="7" t="n">
        <v>4180</v>
      </c>
      <c r="Q20" s="11" t="n">
        <f aca="false">SUMIF($A$4:$A$114,A20,$N$4:$N$114)</f>
        <v>4180</v>
      </c>
      <c r="R20" s="11" t="n">
        <f aca="false">P20-Q20</f>
        <v>0</v>
      </c>
      <c r="S20" s="7" t="str">
        <f aca="false">IF(ABS(R20)&lt;=0.02*P20,"mos","MOS EMAS")</f>
        <v>mos</v>
      </c>
      <c r="T20" s="10" t="n">
        <f aca="false">P20/1000</f>
        <v>4.18</v>
      </c>
      <c r="U20" s="9"/>
    </row>
    <row r="21" customFormat="false" ht="15" hidden="false" customHeight="false" outlineLevel="0" collapsed="false">
      <c r="A21" s="12" t="n">
        <v>18</v>
      </c>
      <c r="B21" s="13" t="s">
        <v>68</v>
      </c>
      <c r="C21" s="14" t="s">
        <v>47</v>
      </c>
      <c r="D21" s="14" t="s">
        <v>48</v>
      </c>
      <c r="E21" s="14" t="s">
        <v>49</v>
      </c>
      <c r="F21" s="14" t="s">
        <v>50</v>
      </c>
      <c r="G21" s="12" t="n">
        <v>300</v>
      </c>
      <c r="H21" s="12" t="n">
        <v>300</v>
      </c>
      <c r="I21" s="12" t="n">
        <v>30</v>
      </c>
      <c r="J21" s="12" t="n">
        <v>11</v>
      </c>
      <c r="K21" s="12" t="n">
        <v>1</v>
      </c>
      <c r="L21" s="15" t="n">
        <v>11</v>
      </c>
      <c r="M21" s="12" t="n">
        <v>375</v>
      </c>
      <c r="N21" s="16" t="n">
        <f aca="false">L21*M21</f>
        <v>4125</v>
      </c>
      <c r="O21" s="14" t="s">
        <v>51</v>
      </c>
      <c r="P21" s="12" t="n">
        <v>4125</v>
      </c>
      <c r="Q21" s="16" t="n">
        <f aca="false">SUMIF($A$4:$A$114,A21,$N$4:$N$114)</f>
        <v>4125</v>
      </c>
      <c r="R21" s="16" t="n">
        <f aca="false">P21-Q21</f>
        <v>0</v>
      </c>
      <c r="S21" s="12" t="str">
        <f aca="false">IF(ABS(R21)&lt;=0.02*P21,"mos","MOS EMAS")</f>
        <v>mos</v>
      </c>
      <c r="T21" s="15" t="n">
        <f aca="false">P21/1000</f>
        <v>4.125</v>
      </c>
      <c r="U21" s="14"/>
    </row>
    <row r="22" customFormat="false" ht="15" hidden="false" customHeight="false" outlineLevel="0" collapsed="false">
      <c r="A22" s="7" t="n">
        <v>19</v>
      </c>
      <c r="B22" s="8" t="s">
        <v>69</v>
      </c>
      <c r="C22" s="9" t="s">
        <v>47</v>
      </c>
      <c r="D22" s="9" t="s">
        <v>48</v>
      </c>
      <c r="E22" s="9" t="s">
        <v>49</v>
      </c>
      <c r="F22" s="9" t="s">
        <v>50</v>
      </c>
      <c r="G22" s="7" t="n">
        <v>300</v>
      </c>
      <c r="H22" s="7" t="n">
        <v>300</v>
      </c>
      <c r="I22" s="7" t="n">
        <v>30</v>
      </c>
      <c r="J22" s="7" t="n">
        <v>11</v>
      </c>
      <c r="K22" s="7" t="n">
        <v>1</v>
      </c>
      <c r="L22" s="10" t="n">
        <v>11</v>
      </c>
      <c r="M22" s="7" t="n">
        <v>415</v>
      </c>
      <c r="N22" s="11" t="n">
        <f aca="false">L22*M22</f>
        <v>4565</v>
      </c>
      <c r="O22" s="9" t="s">
        <v>51</v>
      </c>
      <c r="P22" s="7" t="n">
        <v>4565</v>
      </c>
      <c r="Q22" s="11" t="n">
        <f aca="false">SUMIF($A$4:$A$114,A22,$N$4:$N$114)</f>
        <v>4565</v>
      </c>
      <c r="R22" s="11" t="n">
        <f aca="false">P22-Q22</f>
        <v>0</v>
      </c>
      <c r="S22" s="7" t="str">
        <f aca="false">IF(ABS(R22)&lt;=0.02*P22,"mos","MOS EMAS")</f>
        <v>mos</v>
      </c>
      <c r="T22" s="10" t="n">
        <f aca="false">P22/1000</f>
        <v>4.565</v>
      </c>
      <c r="U22" s="9"/>
    </row>
    <row r="23" customFormat="false" ht="15" hidden="false" customHeight="false" outlineLevel="0" collapsed="false">
      <c r="A23" s="12" t="n">
        <v>20</v>
      </c>
      <c r="B23" s="13" t="s">
        <v>70</v>
      </c>
      <c r="C23" s="14" t="s">
        <v>47</v>
      </c>
      <c r="D23" s="14" t="s">
        <v>48</v>
      </c>
      <c r="E23" s="14" t="s">
        <v>49</v>
      </c>
      <c r="F23" s="14" t="s">
        <v>50</v>
      </c>
      <c r="G23" s="12" t="n">
        <v>300</v>
      </c>
      <c r="H23" s="12" t="n">
        <v>300</v>
      </c>
      <c r="I23" s="12" t="n">
        <v>30</v>
      </c>
      <c r="J23" s="12" t="n">
        <v>11</v>
      </c>
      <c r="K23" s="12" t="n">
        <v>1</v>
      </c>
      <c r="L23" s="15" t="n">
        <v>11</v>
      </c>
      <c r="M23" s="12" t="n">
        <v>425</v>
      </c>
      <c r="N23" s="16" t="n">
        <f aca="false">L23*M23</f>
        <v>4675</v>
      </c>
      <c r="O23" s="14" t="s">
        <v>51</v>
      </c>
      <c r="P23" s="12" t="n">
        <v>4675</v>
      </c>
      <c r="Q23" s="16" t="n">
        <f aca="false">SUMIF($A$4:$A$114,A23,$N$4:$N$114)</f>
        <v>4675</v>
      </c>
      <c r="R23" s="16" t="n">
        <f aca="false">P23-Q23</f>
        <v>0</v>
      </c>
      <c r="S23" s="12" t="str">
        <f aca="false">IF(ABS(R23)&lt;=0.02*P23,"mos","MOS EMAS")</f>
        <v>mos</v>
      </c>
      <c r="T23" s="15" t="n">
        <f aca="false">P23/1000</f>
        <v>4.675</v>
      </c>
      <c r="U23" s="14"/>
    </row>
    <row r="24" customFormat="false" ht="15" hidden="false" customHeight="false" outlineLevel="0" collapsed="false">
      <c r="A24" s="7" t="n">
        <v>21</v>
      </c>
      <c r="B24" s="8" t="s">
        <v>71</v>
      </c>
      <c r="C24" s="9" t="s">
        <v>72</v>
      </c>
      <c r="D24" s="9" t="s">
        <v>48</v>
      </c>
      <c r="E24" s="9" t="s">
        <v>49</v>
      </c>
      <c r="F24" s="9" t="s">
        <v>73</v>
      </c>
      <c r="G24" s="7" t="n">
        <v>400</v>
      </c>
      <c r="H24" s="7" t="n">
        <v>400</v>
      </c>
      <c r="I24" s="7" t="n">
        <v>45</v>
      </c>
      <c r="J24" s="7" t="n">
        <v>6.25</v>
      </c>
      <c r="K24" s="7" t="n">
        <v>1</v>
      </c>
      <c r="L24" s="10" t="n">
        <v>6.25</v>
      </c>
      <c r="M24" s="7" t="n">
        <v>920</v>
      </c>
      <c r="N24" s="11" t="n">
        <f aca="false">L24*M24</f>
        <v>5750</v>
      </c>
      <c r="O24" s="9" t="s">
        <v>51</v>
      </c>
      <c r="P24" s="7" t="n">
        <v>5750</v>
      </c>
      <c r="Q24" s="11" t="n">
        <f aca="false">SUMIF($A$4:$A$114,A24,$N$4:$N$114)</f>
        <v>5750</v>
      </c>
      <c r="R24" s="11" t="n">
        <f aca="false">P24-Q24</f>
        <v>0</v>
      </c>
      <c r="S24" s="7" t="str">
        <f aca="false">IF(ABS(R24)&lt;=0.02*P24,"mos","MOS EMAS")</f>
        <v>mos</v>
      </c>
      <c r="T24" s="10" t="n">
        <f aca="false">P24/1000</f>
        <v>5.75</v>
      </c>
      <c r="U24" s="9"/>
    </row>
    <row r="25" customFormat="false" ht="15" hidden="false" customHeight="false" outlineLevel="0" collapsed="false">
      <c r="A25" s="12" t="n">
        <v>22</v>
      </c>
      <c r="B25" s="13" t="s">
        <v>74</v>
      </c>
      <c r="C25" s="14" t="s">
        <v>72</v>
      </c>
      <c r="D25" s="14" t="s">
        <v>48</v>
      </c>
      <c r="E25" s="14" t="s">
        <v>49</v>
      </c>
      <c r="F25" s="14" t="s">
        <v>75</v>
      </c>
      <c r="G25" s="12" t="n">
        <v>400</v>
      </c>
      <c r="H25" s="12" t="n">
        <v>400</v>
      </c>
      <c r="I25" s="12" t="n">
        <v>45</v>
      </c>
      <c r="J25" s="12" t="n">
        <v>6.25</v>
      </c>
      <c r="K25" s="12" t="n">
        <v>1</v>
      </c>
      <c r="L25" s="15" t="n">
        <v>6.25</v>
      </c>
      <c r="M25" s="12" t="n">
        <v>930</v>
      </c>
      <c r="N25" s="16" t="n">
        <f aca="false">L25*M25</f>
        <v>5812.5</v>
      </c>
      <c r="O25" s="14" t="s">
        <v>51</v>
      </c>
      <c r="P25" s="12" t="n">
        <v>5810</v>
      </c>
      <c r="Q25" s="16" t="n">
        <f aca="false">SUMIF($A$4:$A$114,A25,$N$4:$N$114)</f>
        <v>5812.5</v>
      </c>
      <c r="R25" s="16" t="n">
        <f aca="false">P25-Q25</f>
        <v>-2.5</v>
      </c>
      <c r="S25" s="12" t="str">
        <f aca="false">IF(ABS(R25)&lt;=0.02*P25,"mos","MOS EMAS")</f>
        <v>mos</v>
      </c>
      <c r="T25" s="15" t="n">
        <f aca="false">P25/1000</f>
        <v>5.81</v>
      </c>
      <c r="U25" s="14"/>
    </row>
    <row r="26" customFormat="false" ht="15" hidden="false" customHeight="false" outlineLevel="0" collapsed="false">
      <c r="A26" s="7" t="n">
        <v>23</v>
      </c>
      <c r="B26" s="8" t="s">
        <v>76</v>
      </c>
      <c r="C26" s="9" t="s">
        <v>77</v>
      </c>
      <c r="D26" s="9" t="s">
        <v>78</v>
      </c>
      <c r="E26" s="9" t="s">
        <v>49</v>
      </c>
      <c r="F26" s="9" t="s">
        <v>79</v>
      </c>
      <c r="G26" s="7" t="n">
        <v>100</v>
      </c>
      <c r="H26" s="7" t="n">
        <v>100</v>
      </c>
      <c r="I26" s="7" t="n">
        <v>10</v>
      </c>
      <c r="J26" s="7" t="n">
        <v>92</v>
      </c>
      <c r="K26" s="7" t="n">
        <v>4</v>
      </c>
      <c r="L26" s="10" t="n">
        <f aca="false">J26/K26</f>
        <v>23</v>
      </c>
      <c r="M26" s="7" t="n">
        <v>210</v>
      </c>
      <c r="N26" s="11" t="n">
        <f aca="false">L26*M26</f>
        <v>4830</v>
      </c>
      <c r="O26" s="9" t="s">
        <v>51</v>
      </c>
      <c r="P26" s="7" t="n">
        <v>4830</v>
      </c>
      <c r="Q26" s="11" t="n">
        <f aca="false">SUMIF($A$4:$A$114,A26,$N$4:$N$114)</f>
        <v>4830</v>
      </c>
      <c r="R26" s="11" t="n">
        <f aca="false">P26-Q26</f>
        <v>0</v>
      </c>
      <c r="S26" s="7" t="str">
        <f aca="false">IF(ABS(R26)&lt;=0.02*P26,"mos","MOS EMAS")</f>
        <v>mos</v>
      </c>
      <c r="T26" s="10" t="n">
        <f aca="false">P26/1000</f>
        <v>4.83</v>
      </c>
      <c r="U26" s="9"/>
    </row>
    <row r="27" customFormat="false" ht="15" hidden="false" customHeight="false" outlineLevel="0" collapsed="false">
      <c r="A27" s="12" t="n">
        <v>24</v>
      </c>
      <c r="B27" s="13" t="s">
        <v>80</v>
      </c>
      <c r="C27" s="14" t="s">
        <v>81</v>
      </c>
      <c r="D27" s="14" t="s">
        <v>82</v>
      </c>
      <c r="E27" s="14" t="s">
        <v>49</v>
      </c>
      <c r="F27" s="14" t="s">
        <v>83</v>
      </c>
      <c r="G27" s="12" t="n">
        <v>200</v>
      </c>
      <c r="H27" s="12" t="n">
        <v>200</v>
      </c>
      <c r="I27" s="12" t="n">
        <v>20</v>
      </c>
      <c r="J27" s="12" t="n">
        <v>25</v>
      </c>
      <c r="K27" s="12" t="n">
        <v>1</v>
      </c>
      <c r="L27" s="15" t="n">
        <v>25</v>
      </c>
      <c r="M27" s="12" t="n">
        <v>160</v>
      </c>
      <c r="N27" s="16" t="n">
        <f aca="false">L27*M27</f>
        <v>4000</v>
      </c>
      <c r="O27" s="14" t="s">
        <v>51</v>
      </c>
      <c r="P27" s="12" t="n">
        <v>4625</v>
      </c>
      <c r="Q27" s="16" t="n">
        <f aca="false">SUMIF($A$4:$A$114,A27,$N$4:$N$114)</f>
        <v>4624</v>
      </c>
      <c r="R27" s="16" t="n">
        <f aca="false">P27-Q27</f>
        <v>1</v>
      </c>
      <c r="S27" s="12" t="str">
        <f aca="false">IF(ABS(R27)&lt;=0.02*P27,"mos","MOS EMAS")</f>
        <v>mos</v>
      </c>
      <c r="T27" s="15" t="n">
        <f aca="false">P27/1000</f>
        <v>4.625</v>
      </c>
      <c r="U27" s="14"/>
    </row>
    <row r="28" customFormat="false" ht="15" hidden="false" customHeight="false" outlineLevel="0" collapsed="false">
      <c r="A28" s="12" t="n">
        <v>24</v>
      </c>
      <c r="B28" s="13" t="s">
        <v>80</v>
      </c>
      <c r="C28" s="14" t="s">
        <v>81</v>
      </c>
      <c r="D28" s="14" t="s">
        <v>82</v>
      </c>
      <c r="E28" s="14" t="s">
        <v>84</v>
      </c>
      <c r="F28" s="14" t="s">
        <v>85</v>
      </c>
      <c r="G28" s="12" t="n">
        <v>53</v>
      </c>
      <c r="H28" s="12" t="n">
        <v>53</v>
      </c>
      <c r="I28" s="12" t="n">
        <v>25</v>
      </c>
      <c r="J28" s="12" t="n">
        <v>4.16</v>
      </c>
      <c r="K28" s="12" t="n">
        <v>6</v>
      </c>
      <c r="L28" s="15" t="n">
        <v>4.16</v>
      </c>
      <c r="M28" s="12" t="n">
        <v>150</v>
      </c>
      <c r="N28" s="16" t="n">
        <f aca="false">L28*M28</f>
        <v>624</v>
      </c>
      <c r="O28" s="14" t="s">
        <v>51</v>
      </c>
      <c r="P28" s="14"/>
      <c r="Q28" s="17"/>
      <c r="R28" s="17"/>
      <c r="S28" s="14"/>
      <c r="T28" s="18"/>
      <c r="U28" s="14"/>
    </row>
    <row r="29" customFormat="false" ht="15" hidden="false" customHeight="false" outlineLevel="0" collapsed="false">
      <c r="A29" s="7" t="n">
        <v>25</v>
      </c>
      <c r="B29" s="8" t="s">
        <v>86</v>
      </c>
      <c r="C29" s="9" t="s">
        <v>81</v>
      </c>
      <c r="D29" s="9" t="s">
        <v>82</v>
      </c>
      <c r="E29" s="9" t="s">
        <v>49</v>
      </c>
      <c r="F29" s="9" t="s">
        <v>83</v>
      </c>
      <c r="G29" s="7" t="n">
        <v>200</v>
      </c>
      <c r="H29" s="7" t="n">
        <v>200</v>
      </c>
      <c r="I29" s="7" t="n">
        <v>25</v>
      </c>
      <c r="J29" s="7" t="n">
        <v>25</v>
      </c>
      <c r="K29" s="7" t="n">
        <v>1</v>
      </c>
      <c r="L29" s="10" t="n">
        <v>25</v>
      </c>
      <c r="M29" s="7" t="n">
        <v>145</v>
      </c>
      <c r="N29" s="11" t="n">
        <f aca="false">L29*M29</f>
        <v>3625</v>
      </c>
      <c r="O29" s="9" t="s">
        <v>51</v>
      </c>
      <c r="P29" s="7" t="n">
        <v>4250</v>
      </c>
      <c r="Q29" s="11" t="n">
        <f aca="false">SUMIF($A$4:$A$114,A29,$N$4:$N$114)</f>
        <v>4249</v>
      </c>
      <c r="R29" s="11" t="n">
        <f aca="false">P29-Q29</f>
        <v>1</v>
      </c>
      <c r="S29" s="7" t="str">
        <f aca="false">IF(ABS(R29)&lt;=0.02*P29,"mos","MOS EMAS")</f>
        <v>mos</v>
      </c>
      <c r="T29" s="10" t="n">
        <f aca="false">P29/1000</f>
        <v>4.25</v>
      </c>
      <c r="U29" s="9"/>
    </row>
    <row r="30" customFormat="false" ht="15" hidden="false" customHeight="false" outlineLevel="0" collapsed="false">
      <c r="A30" s="7" t="n">
        <v>25</v>
      </c>
      <c r="B30" s="8" t="s">
        <v>86</v>
      </c>
      <c r="C30" s="9" t="s">
        <v>81</v>
      </c>
      <c r="D30" s="9" t="s">
        <v>82</v>
      </c>
      <c r="E30" s="9" t="s">
        <v>84</v>
      </c>
      <c r="F30" s="9" t="s">
        <v>85</v>
      </c>
      <c r="G30" s="7" t="n">
        <v>53</v>
      </c>
      <c r="H30" s="7" t="n">
        <v>53</v>
      </c>
      <c r="I30" s="7" t="n">
        <v>25</v>
      </c>
      <c r="J30" s="7" t="n">
        <v>4.16</v>
      </c>
      <c r="K30" s="7" t="n">
        <v>6</v>
      </c>
      <c r="L30" s="10" t="n">
        <v>4.16</v>
      </c>
      <c r="M30" s="7" t="n">
        <v>150</v>
      </c>
      <c r="N30" s="11" t="n">
        <f aca="false">L30*M30</f>
        <v>624</v>
      </c>
      <c r="O30" s="9" t="s">
        <v>51</v>
      </c>
      <c r="P30" s="9"/>
      <c r="Q30" s="19"/>
      <c r="R30" s="19"/>
      <c r="S30" s="9"/>
      <c r="T30" s="20"/>
      <c r="U30" s="9"/>
    </row>
    <row r="31" customFormat="false" ht="15" hidden="false" customHeight="false" outlineLevel="0" collapsed="false">
      <c r="A31" s="12" t="n">
        <v>26</v>
      </c>
      <c r="B31" s="13" t="s">
        <v>87</v>
      </c>
      <c r="C31" s="14" t="s">
        <v>88</v>
      </c>
      <c r="D31" s="14" t="s">
        <v>82</v>
      </c>
      <c r="E31" s="14" t="s">
        <v>49</v>
      </c>
      <c r="F31" s="14" t="s">
        <v>83</v>
      </c>
      <c r="G31" s="12" t="n">
        <v>200</v>
      </c>
      <c r="H31" s="12" t="n">
        <v>200</v>
      </c>
      <c r="I31" s="12" t="n">
        <v>25</v>
      </c>
      <c r="J31" s="12" t="n">
        <v>25</v>
      </c>
      <c r="K31" s="12" t="n">
        <v>1</v>
      </c>
      <c r="L31" s="15" t="n">
        <v>25</v>
      </c>
      <c r="M31" s="12" t="n">
        <v>330</v>
      </c>
      <c r="N31" s="16" t="n">
        <f aca="false">L31*M31</f>
        <v>8250</v>
      </c>
      <c r="O31" s="14" t="s">
        <v>51</v>
      </c>
      <c r="P31" s="12" t="n">
        <v>4375</v>
      </c>
      <c r="Q31" s="16" t="n">
        <f aca="false">SUMIF($A$4:$A$114,A31,$N$4:$N$114)</f>
        <v>8874</v>
      </c>
      <c r="R31" s="16" t="n">
        <f aca="false">P31-Q31</f>
        <v>-4499</v>
      </c>
      <c r="S31" s="12" t="str">
        <f aca="false">IF(ABS(R31)&lt;=0.02*P31,"mos","MOS EMAS")</f>
        <v>MOS EMAS</v>
      </c>
      <c r="T31" s="15" t="n">
        <f aca="false">P31/1000</f>
        <v>4.375</v>
      </c>
      <c r="U31" s="14" t="s">
        <v>89</v>
      </c>
    </row>
    <row r="32" customFormat="false" ht="15" hidden="false" customHeight="false" outlineLevel="0" collapsed="false">
      <c r="A32" s="12" t="n">
        <v>26</v>
      </c>
      <c r="B32" s="13" t="s">
        <v>87</v>
      </c>
      <c r="C32" s="14" t="s">
        <v>88</v>
      </c>
      <c r="D32" s="14" t="s">
        <v>82</v>
      </c>
      <c r="E32" s="14" t="s">
        <v>84</v>
      </c>
      <c r="F32" s="14" t="s">
        <v>85</v>
      </c>
      <c r="G32" s="12" t="n">
        <v>53</v>
      </c>
      <c r="H32" s="12" t="n">
        <v>53</v>
      </c>
      <c r="I32" s="12" t="n">
        <v>25</v>
      </c>
      <c r="J32" s="12" t="n">
        <v>4.16</v>
      </c>
      <c r="K32" s="12" t="n">
        <v>6</v>
      </c>
      <c r="L32" s="15" t="n">
        <v>4.16</v>
      </c>
      <c r="M32" s="12" t="n">
        <v>150</v>
      </c>
      <c r="N32" s="16" t="n">
        <f aca="false">L32*M32</f>
        <v>624</v>
      </c>
      <c r="O32" s="14" t="s">
        <v>51</v>
      </c>
      <c r="P32" s="14"/>
      <c r="Q32" s="17"/>
      <c r="R32" s="17"/>
      <c r="S32" s="14"/>
      <c r="T32" s="18"/>
      <c r="U32" s="14"/>
    </row>
    <row r="33" customFormat="false" ht="15" hidden="false" customHeight="false" outlineLevel="0" collapsed="false">
      <c r="A33" s="7" t="n">
        <v>27</v>
      </c>
      <c r="B33" s="8" t="s">
        <v>90</v>
      </c>
      <c r="C33" s="9" t="s">
        <v>88</v>
      </c>
      <c r="D33" s="9" t="s">
        <v>82</v>
      </c>
      <c r="E33" s="9" t="s">
        <v>49</v>
      </c>
      <c r="F33" s="9" t="s">
        <v>83</v>
      </c>
      <c r="G33" s="7" t="n">
        <v>200</v>
      </c>
      <c r="H33" s="7" t="n">
        <v>200</v>
      </c>
      <c r="I33" s="7" t="n">
        <v>25</v>
      </c>
      <c r="J33" s="7" t="n">
        <v>25</v>
      </c>
      <c r="K33" s="7" t="n">
        <v>1</v>
      </c>
      <c r="L33" s="10" t="n">
        <v>25</v>
      </c>
      <c r="M33" s="7" t="n">
        <v>330</v>
      </c>
      <c r="N33" s="11" t="n">
        <f aca="false">L33*M33</f>
        <v>8250</v>
      </c>
      <c r="O33" s="9" t="s">
        <v>51</v>
      </c>
      <c r="P33" s="7" t="n">
        <v>4675</v>
      </c>
      <c r="Q33" s="11" t="n">
        <f aca="false">SUMIF($A$4:$A$114,A33,$N$4:$N$114)</f>
        <v>8562</v>
      </c>
      <c r="R33" s="11" t="n">
        <f aca="false">P33-Q33</f>
        <v>-3887</v>
      </c>
      <c r="S33" s="7" t="str">
        <f aca="false">IF(ABS(R33)&lt;=0.02*P33,"mos","MOS EMAS")</f>
        <v>MOS EMAS</v>
      </c>
      <c r="T33" s="10" t="n">
        <f aca="false">P33/1000</f>
        <v>4.675</v>
      </c>
      <c r="U33" s="9" t="s">
        <v>89</v>
      </c>
    </row>
    <row r="34" customFormat="false" ht="15" hidden="false" customHeight="false" outlineLevel="0" collapsed="false">
      <c r="A34" s="7" t="n">
        <v>27</v>
      </c>
      <c r="B34" s="8" t="s">
        <v>90</v>
      </c>
      <c r="C34" s="9" t="s">
        <v>88</v>
      </c>
      <c r="D34" s="9" t="s">
        <v>82</v>
      </c>
      <c r="E34" s="9" t="s">
        <v>84</v>
      </c>
      <c r="F34" s="9" t="s">
        <v>85</v>
      </c>
      <c r="G34" s="7" t="n">
        <v>53</v>
      </c>
      <c r="H34" s="7" t="n">
        <v>53</v>
      </c>
      <c r="I34" s="7" t="n">
        <v>25</v>
      </c>
      <c r="J34" s="7" t="n">
        <v>2.08</v>
      </c>
      <c r="K34" s="7" t="n">
        <v>6</v>
      </c>
      <c r="L34" s="10" t="n">
        <v>2.08</v>
      </c>
      <c r="M34" s="7" t="n">
        <v>150</v>
      </c>
      <c r="N34" s="11" t="n">
        <f aca="false">L34*M34</f>
        <v>312</v>
      </c>
      <c r="O34" s="9" t="s">
        <v>51</v>
      </c>
      <c r="P34" s="9"/>
      <c r="Q34" s="19"/>
      <c r="R34" s="19"/>
      <c r="S34" s="9"/>
      <c r="T34" s="20"/>
      <c r="U34" s="9"/>
    </row>
    <row r="35" customFormat="false" ht="15" hidden="false" customHeight="false" outlineLevel="0" collapsed="false">
      <c r="A35" s="12" t="n">
        <v>28</v>
      </c>
      <c r="B35" s="13" t="s">
        <v>91</v>
      </c>
      <c r="C35" s="14" t="s">
        <v>88</v>
      </c>
      <c r="D35" s="14" t="s">
        <v>82</v>
      </c>
      <c r="E35" s="14" t="s">
        <v>49</v>
      </c>
      <c r="F35" s="14" t="s">
        <v>83</v>
      </c>
      <c r="G35" s="12" t="n">
        <v>298</v>
      </c>
      <c r="H35" s="12" t="n">
        <v>298</v>
      </c>
      <c r="I35" s="12" t="n">
        <v>38</v>
      </c>
      <c r="J35" s="12" t="n">
        <v>25</v>
      </c>
      <c r="K35" s="12" t="n">
        <v>1</v>
      </c>
      <c r="L35" s="15" t="n">
        <v>25</v>
      </c>
      <c r="M35" s="12" t="n">
        <v>310</v>
      </c>
      <c r="N35" s="16" t="n">
        <f aca="false">L35*M35</f>
        <v>7750</v>
      </c>
      <c r="O35" s="14" t="s">
        <v>51</v>
      </c>
      <c r="P35" s="12" t="n">
        <v>4625</v>
      </c>
      <c r="Q35" s="16" t="n">
        <f aca="false">SUMIF($A$4:$A$114,A35,$N$4:$N$114)</f>
        <v>8374</v>
      </c>
      <c r="R35" s="16" t="n">
        <f aca="false">P35-Q35</f>
        <v>-3749</v>
      </c>
      <c r="S35" s="12" t="str">
        <f aca="false">IF(ABS(R35)&lt;=0.02*P35,"mos","MOS EMAS")</f>
        <v>MOS EMAS</v>
      </c>
      <c r="T35" s="15" t="n">
        <f aca="false">P35/1000</f>
        <v>4.625</v>
      </c>
      <c r="U35" s="14" t="s">
        <v>92</v>
      </c>
    </row>
    <row r="36" customFormat="false" ht="15" hidden="false" customHeight="false" outlineLevel="0" collapsed="false">
      <c r="A36" s="12" t="n">
        <v>28</v>
      </c>
      <c r="B36" s="13" t="s">
        <v>91</v>
      </c>
      <c r="C36" s="14" t="s">
        <v>88</v>
      </c>
      <c r="D36" s="14" t="s">
        <v>82</v>
      </c>
      <c r="E36" s="14" t="s">
        <v>84</v>
      </c>
      <c r="F36" s="14" t="s">
        <v>85</v>
      </c>
      <c r="G36" s="12" t="n">
        <v>72</v>
      </c>
      <c r="H36" s="12" t="n">
        <v>72</v>
      </c>
      <c r="I36" s="12" t="n">
        <v>30</v>
      </c>
      <c r="J36" s="12" t="n">
        <v>4.16</v>
      </c>
      <c r="K36" s="12" t="n">
        <v>6</v>
      </c>
      <c r="L36" s="15" t="n">
        <v>4.16</v>
      </c>
      <c r="M36" s="12" t="n">
        <v>150</v>
      </c>
      <c r="N36" s="16" t="n">
        <f aca="false">L36*M36</f>
        <v>624</v>
      </c>
      <c r="O36" s="14" t="s">
        <v>51</v>
      </c>
      <c r="P36" s="14"/>
      <c r="Q36" s="17"/>
      <c r="R36" s="17"/>
      <c r="S36" s="14"/>
      <c r="T36" s="18"/>
      <c r="U36" s="14"/>
    </row>
    <row r="37" customFormat="false" ht="15" hidden="false" customHeight="false" outlineLevel="0" collapsed="false">
      <c r="A37" s="7" t="n">
        <v>29</v>
      </c>
      <c r="B37" s="8" t="s">
        <v>93</v>
      </c>
      <c r="C37" s="9" t="s">
        <v>88</v>
      </c>
      <c r="D37" s="9" t="s">
        <v>82</v>
      </c>
      <c r="E37" s="9" t="s">
        <v>49</v>
      </c>
      <c r="F37" s="9" t="s">
        <v>83</v>
      </c>
      <c r="G37" s="7" t="n">
        <v>200</v>
      </c>
      <c r="H37" s="7" t="n">
        <v>200</v>
      </c>
      <c r="I37" s="7" t="n">
        <v>25</v>
      </c>
      <c r="J37" s="7" t="n">
        <v>25</v>
      </c>
      <c r="K37" s="7" t="n">
        <v>1</v>
      </c>
      <c r="L37" s="10" t="n">
        <v>25</v>
      </c>
      <c r="M37" s="7" t="n">
        <v>330</v>
      </c>
      <c r="N37" s="11" t="n">
        <f aca="false">L37*M37</f>
        <v>8250</v>
      </c>
      <c r="O37" s="9" t="s">
        <v>51</v>
      </c>
      <c r="P37" s="7" t="n">
        <v>4250</v>
      </c>
      <c r="Q37" s="11" t="n">
        <f aca="false">SUMIF($A$4:$A$114,A37,$N$4:$N$114)</f>
        <v>8874</v>
      </c>
      <c r="R37" s="11" t="n">
        <f aca="false">P37-Q37</f>
        <v>-4624</v>
      </c>
      <c r="S37" s="7" t="str">
        <f aca="false">IF(ABS(R37)&lt;=0.02*P37,"mos","MOS EMAS")</f>
        <v>MOS EMAS</v>
      </c>
      <c r="T37" s="10" t="n">
        <f aca="false">P37/1000</f>
        <v>4.25</v>
      </c>
      <c r="U37" s="9" t="s">
        <v>89</v>
      </c>
    </row>
    <row r="38" customFormat="false" ht="15" hidden="false" customHeight="false" outlineLevel="0" collapsed="false">
      <c r="A38" s="7" t="n">
        <v>29</v>
      </c>
      <c r="B38" s="8" t="s">
        <v>93</v>
      </c>
      <c r="C38" s="9" t="s">
        <v>88</v>
      </c>
      <c r="D38" s="9" t="s">
        <v>82</v>
      </c>
      <c r="E38" s="9" t="s">
        <v>84</v>
      </c>
      <c r="F38" s="9" t="s">
        <v>85</v>
      </c>
      <c r="G38" s="7" t="n">
        <v>53</v>
      </c>
      <c r="H38" s="7" t="n">
        <v>53</v>
      </c>
      <c r="I38" s="7" t="n">
        <v>25</v>
      </c>
      <c r="J38" s="7" t="n">
        <v>4.16</v>
      </c>
      <c r="K38" s="7" t="n">
        <v>6</v>
      </c>
      <c r="L38" s="10" t="n">
        <v>4.16</v>
      </c>
      <c r="M38" s="7" t="n">
        <v>150</v>
      </c>
      <c r="N38" s="11" t="n">
        <f aca="false">L38*M38</f>
        <v>624</v>
      </c>
      <c r="O38" s="9" t="s">
        <v>51</v>
      </c>
      <c r="P38" s="9"/>
      <c r="Q38" s="19"/>
      <c r="R38" s="19"/>
      <c r="S38" s="9"/>
      <c r="T38" s="20"/>
      <c r="U38" s="9"/>
    </row>
    <row r="39" customFormat="false" ht="15" hidden="false" customHeight="false" outlineLevel="0" collapsed="false">
      <c r="A39" s="12" t="n">
        <v>30</v>
      </c>
      <c r="B39" s="13" t="s">
        <v>94</v>
      </c>
      <c r="C39" s="14" t="s">
        <v>95</v>
      </c>
      <c r="D39" s="14" t="s">
        <v>82</v>
      </c>
      <c r="E39" s="14" t="s">
        <v>49</v>
      </c>
      <c r="F39" s="14" t="s">
        <v>83</v>
      </c>
      <c r="G39" s="12" t="n">
        <v>200</v>
      </c>
      <c r="H39" s="12" t="n">
        <v>200</v>
      </c>
      <c r="I39" s="12" t="n">
        <v>25</v>
      </c>
      <c r="J39" s="12" t="n">
        <v>25</v>
      </c>
      <c r="K39" s="12" t="n">
        <v>1</v>
      </c>
      <c r="L39" s="15" t="n">
        <v>25</v>
      </c>
      <c r="M39" s="12" t="n">
        <v>175</v>
      </c>
      <c r="N39" s="16" t="n">
        <f aca="false">L39*M39</f>
        <v>4375</v>
      </c>
      <c r="O39" s="14" t="s">
        <v>51</v>
      </c>
      <c r="P39" s="12" t="n">
        <v>4675</v>
      </c>
      <c r="Q39" s="16" t="n">
        <f aca="false">SUMIF($A$4:$A$114,A39,$N$4:$N$114)</f>
        <v>4687</v>
      </c>
      <c r="R39" s="16" t="n">
        <f aca="false">P39-Q39</f>
        <v>-12</v>
      </c>
      <c r="S39" s="12" t="str">
        <f aca="false">IF(ABS(R39)&lt;=0.02*P39,"mos","MOS EMAS")</f>
        <v>mos</v>
      </c>
      <c r="T39" s="15" t="n">
        <f aca="false">P39/1000</f>
        <v>4.675</v>
      </c>
      <c r="U39" s="14"/>
    </row>
    <row r="40" customFormat="false" ht="15" hidden="false" customHeight="false" outlineLevel="0" collapsed="false">
      <c r="A40" s="12" t="n">
        <v>30</v>
      </c>
      <c r="B40" s="13" t="s">
        <v>94</v>
      </c>
      <c r="C40" s="14" t="s">
        <v>95</v>
      </c>
      <c r="D40" s="14" t="s">
        <v>82</v>
      </c>
      <c r="E40" s="14" t="s">
        <v>84</v>
      </c>
      <c r="F40" s="14" t="s">
        <v>85</v>
      </c>
      <c r="G40" s="12" t="n">
        <v>53</v>
      </c>
      <c r="H40" s="12" t="n">
        <v>53</v>
      </c>
      <c r="I40" s="12" t="n">
        <v>25</v>
      </c>
      <c r="J40" s="12" t="n">
        <v>2.08</v>
      </c>
      <c r="K40" s="12" t="n">
        <v>6</v>
      </c>
      <c r="L40" s="15" t="n">
        <v>2.08</v>
      </c>
      <c r="M40" s="12" t="n">
        <v>150</v>
      </c>
      <c r="N40" s="16" t="n">
        <f aca="false">L40*M40</f>
        <v>312</v>
      </c>
      <c r="O40" s="14" t="s">
        <v>51</v>
      </c>
      <c r="P40" s="14"/>
      <c r="Q40" s="17"/>
      <c r="R40" s="17"/>
      <c r="S40" s="14"/>
      <c r="T40" s="18"/>
      <c r="U40" s="14"/>
    </row>
    <row r="41" customFormat="false" ht="15" hidden="false" customHeight="false" outlineLevel="0" collapsed="false">
      <c r="A41" s="7" t="n">
        <v>31</v>
      </c>
      <c r="B41" s="8" t="s">
        <v>96</v>
      </c>
      <c r="C41" s="9" t="s">
        <v>95</v>
      </c>
      <c r="D41" s="9" t="s">
        <v>82</v>
      </c>
      <c r="E41" s="9" t="s">
        <v>49</v>
      </c>
      <c r="F41" s="9" t="s">
        <v>83</v>
      </c>
      <c r="G41" s="7" t="n">
        <v>200</v>
      </c>
      <c r="H41" s="7" t="n">
        <v>200</v>
      </c>
      <c r="I41" s="7" t="n">
        <v>25</v>
      </c>
      <c r="J41" s="7" t="n">
        <v>25</v>
      </c>
      <c r="K41" s="7" t="n">
        <v>1</v>
      </c>
      <c r="L41" s="10" t="n">
        <v>25</v>
      </c>
      <c r="M41" s="7" t="n">
        <v>200</v>
      </c>
      <c r="N41" s="11" t="n">
        <f aca="false">L41*M41</f>
        <v>5000</v>
      </c>
      <c r="O41" s="9" t="s">
        <v>51</v>
      </c>
      <c r="P41" s="7" t="n">
        <v>5300</v>
      </c>
      <c r="Q41" s="11" t="n">
        <f aca="false">SUMIF($A$4:$A$114,A41,$N$4:$N$114)</f>
        <v>5312</v>
      </c>
      <c r="R41" s="11" t="n">
        <f aca="false">P41-Q41</f>
        <v>-12</v>
      </c>
      <c r="S41" s="7" t="str">
        <f aca="false">IF(ABS(R41)&lt;=0.02*P41,"mos","MOS EMAS")</f>
        <v>mos</v>
      </c>
      <c r="T41" s="10" t="n">
        <f aca="false">P41/1000</f>
        <v>5.3</v>
      </c>
      <c r="U41" s="9"/>
    </row>
    <row r="42" customFormat="false" ht="15" hidden="false" customHeight="false" outlineLevel="0" collapsed="false">
      <c r="A42" s="7" t="n">
        <v>31</v>
      </c>
      <c r="B42" s="8" t="s">
        <v>96</v>
      </c>
      <c r="C42" s="9" t="s">
        <v>95</v>
      </c>
      <c r="D42" s="9" t="s">
        <v>82</v>
      </c>
      <c r="E42" s="9" t="s">
        <v>84</v>
      </c>
      <c r="F42" s="9" t="s">
        <v>85</v>
      </c>
      <c r="G42" s="7" t="n">
        <v>53</v>
      </c>
      <c r="H42" s="7" t="n">
        <v>53</v>
      </c>
      <c r="I42" s="7" t="n">
        <v>25</v>
      </c>
      <c r="J42" s="7" t="n">
        <v>2.08</v>
      </c>
      <c r="K42" s="7" t="n">
        <v>6</v>
      </c>
      <c r="L42" s="10" t="n">
        <v>2.08</v>
      </c>
      <c r="M42" s="7" t="n">
        <v>150</v>
      </c>
      <c r="N42" s="11" t="n">
        <f aca="false">L42*M42</f>
        <v>312</v>
      </c>
      <c r="O42" s="9" t="s">
        <v>51</v>
      </c>
      <c r="P42" s="9"/>
      <c r="Q42" s="19"/>
      <c r="R42" s="19"/>
      <c r="S42" s="9"/>
      <c r="T42" s="20"/>
      <c r="U42" s="9"/>
    </row>
    <row r="43" customFormat="false" ht="15" hidden="false" customHeight="false" outlineLevel="0" collapsed="false">
      <c r="A43" s="12" t="n">
        <v>32</v>
      </c>
      <c r="B43" s="13" t="s">
        <v>97</v>
      </c>
      <c r="C43" s="14" t="s">
        <v>95</v>
      </c>
      <c r="D43" s="14" t="s">
        <v>82</v>
      </c>
      <c r="E43" s="14" t="s">
        <v>49</v>
      </c>
      <c r="F43" s="14" t="s">
        <v>83</v>
      </c>
      <c r="G43" s="12" t="n">
        <v>200</v>
      </c>
      <c r="H43" s="12" t="n">
        <v>200</v>
      </c>
      <c r="I43" s="12" t="n">
        <v>25</v>
      </c>
      <c r="J43" s="12" t="n">
        <v>25</v>
      </c>
      <c r="K43" s="12" t="n">
        <v>1</v>
      </c>
      <c r="L43" s="15" t="n">
        <v>25</v>
      </c>
      <c r="M43" s="12" t="n">
        <v>175</v>
      </c>
      <c r="N43" s="16" t="n">
        <f aca="false">L43*M43</f>
        <v>4375</v>
      </c>
      <c r="O43" s="14" t="s">
        <v>51</v>
      </c>
      <c r="P43" s="12" t="n">
        <v>4675</v>
      </c>
      <c r="Q43" s="16" t="n">
        <f aca="false">SUMIF($A$4:$A$114,A43,$N$4:$N$114)</f>
        <v>4687</v>
      </c>
      <c r="R43" s="16" t="n">
        <f aca="false">P43-Q43</f>
        <v>-12</v>
      </c>
      <c r="S43" s="12" t="str">
        <f aca="false">IF(ABS(R43)&lt;=0.02*P43,"mos","MOS EMAS")</f>
        <v>mos</v>
      </c>
      <c r="T43" s="15" t="n">
        <f aca="false">P43/1000</f>
        <v>4.675</v>
      </c>
      <c r="U43" s="14"/>
    </row>
    <row r="44" customFormat="false" ht="15" hidden="false" customHeight="false" outlineLevel="0" collapsed="false">
      <c r="A44" s="12" t="n">
        <v>32</v>
      </c>
      <c r="B44" s="13" t="s">
        <v>97</v>
      </c>
      <c r="C44" s="14" t="s">
        <v>95</v>
      </c>
      <c r="D44" s="14" t="s">
        <v>82</v>
      </c>
      <c r="E44" s="14" t="s">
        <v>84</v>
      </c>
      <c r="F44" s="14" t="s">
        <v>85</v>
      </c>
      <c r="G44" s="12" t="n">
        <v>53</v>
      </c>
      <c r="H44" s="12" t="n">
        <v>53</v>
      </c>
      <c r="I44" s="12" t="n">
        <v>25</v>
      </c>
      <c r="J44" s="12" t="n">
        <v>2.08</v>
      </c>
      <c r="K44" s="12" t="n">
        <v>6</v>
      </c>
      <c r="L44" s="15" t="n">
        <v>2.08</v>
      </c>
      <c r="M44" s="12" t="n">
        <v>150</v>
      </c>
      <c r="N44" s="16" t="n">
        <f aca="false">L44*M44</f>
        <v>312</v>
      </c>
      <c r="O44" s="14" t="s">
        <v>51</v>
      </c>
      <c r="P44" s="14"/>
      <c r="Q44" s="17"/>
      <c r="R44" s="17"/>
      <c r="S44" s="14"/>
      <c r="T44" s="18"/>
      <c r="U44" s="14"/>
    </row>
    <row r="45" customFormat="false" ht="15" hidden="false" customHeight="false" outlineLevel="0" collapsed="false">
      <c r="A45" s="7" t="n">
        <v>33</v>
      </c>
      <c r="B45" s="8" t="s">
        <v>98</v>
      </c>
      <c r="C45" s="9" t="s">
        <v>95</v>
      </c>
      <c r="D45" s="9" t="s">
        <v>82</v>
      </c>
      <c r="E45" s="9" t="s">
        <v>49</v>
      </c>
      <c r="F45" s="9" t="s">
        <v>83</v>
      </c>
      <c r="G45" s="7" t="n">
        <v>200</v>
      </c>
      <c r="H45" s="7" t="n">
        <v>200</v>
      </c>
      <c r="I45" s="7" t="n">
        <v>25</v>
      </c>
      <c r="J45" s="7" t="n">
        <v>25</v>
      </c>
      <c r="K45" s="7" t="n">
        <v>1</v>
      </c>
      <c r="L45" s="10" t="n">
        <v>25</v>
      </c>
      <c r="M45" s="7" t="n">
        <v>195</v>
      </c>
      <c r="N45" s="11" t="n">
        <f aca="false">L45*M45</f>
        <v>4875</v>
      </c>
      <c r="O45" s="9" t="s">
        <v>51</v>
      </c>
      <c r="P45" s="7" t="n">
        <v>5175</v>
      </c>
      <c r="Q45" s="11" t="n">
        <f aca="false">SUMIF($A$4:$A$114,A45,$N$4:$N$114)</f>
        <v>5187</v>
      </c>
      <c r="R45" s="11" t="n">
        <f aca="false">P45-Q45</f>
        <v>-12</v>
      </c>
      <c r="S45" s="7" t="str">
        <f aca="false">IF(ABS(R45)&lt;=0.02*P45,"mos","MOS EMAS")</f>
        <v>mos</v>
      </c>
      <c r="T45" s="10" t="n">
        <f aca="false">P45/1000</f>
        <v>5.175</v>
      </c>
      <c r="U45" s="9"/>
    </row>
    <row r="46" customFormat="false" ht="15" hidden="false" customHeight="false" outlineLevel="0" collapsed="false">
      <c r="A46" s="7" t="n">
        <v>33</v>
      </c>
      <c r="B46" s="8" t="s">
        <v>98</v>
      </c>
      <c r="C46" s="9" t="s">
        <v>95</v>
      </c>
      <c r="D46" s="9" t="s">
        <v>82</v>
      </c>
      <c r="E46" s="9" t="s">
        <v>84</v>
      </c>
      <c r="F46" s="9" t="s">
        <v>85</v>
      </c>
      <c r="G46" s="7" t="n">
        <v>53</v>
      </c>
      <c r="H46" s="7" t="n">
        <v>53</v>
      </c>
      <c r="I46" s="7" t="n">
        <v>25</v>
      </c>
      <c r="J46" s="7" t="n">
        <v>2.08</v>
      </c>
      <c r="K46" s="7" t="n">
        <v>6</v>
      </c>
      <c r="L46" s="10" t="n">
        <v>2.08</v>
      </c>
      <c r="M46" s="7" t="n">
        <v>150</v>
      </c>
      <c r="N46" s="11" t="n">
        <f aca="false">L46*M46</f>
        <v>312</v>
      </c>
      <c r="O46" s="9" t="s">
        <v>51</v>
      </c>
      <c r="P46" s="9"/>
      <c r="Q46" s="19"/>
      <c r="R46" s="19"/>
      <c r="S46" s="9"/>
      <c r="T46" s="20"/>
      <c r="U46" s="9"/>
    </row>
    <row r="47" customFormat="false" ht="15" hidden="false" customHeight="false" outlineLevel="0" collapsed="false">
      <c r="A47" s="12" t="n">
        <v>34</v>
      </c>
      <c r="B47" s="13" t="s">
        <v>99</v>
      </c>
      <c r="C47" s="14" t="s">
        <v>95</v>
      </c>
      <c r="D47" s="14" t="s">
        <v>82</v>
      </c>
      <c r="E47" s="14" t="s">
        <v>49</v>
      </c>
      <c r="F47" s="14" t="s">
        <v>83</v>
      </c>
      <c r="G47" s="12" t="n">
        <v>200</v>
      </c>
      <c r="H47" s="12" t="n">
        <v>200</v>
      </c>
      <c r="I47" s="12" t="n">
        <v>25</v>
      </c>
      <c r="J47" s="12" t="n">
        <v>25</v>
      </c>
      <c r="K47" s="12" t="n">
        <v>1</v>
      </c>
      <c r="L47" s="15" t="n">
        <v>25</v>
      </c>
      <c r="M47" s="12" t="n">
        <v>180</v>
      </c>
      <c r="N47" s="16" t="n">
        <f aca="false">L47*M47</f>
        <v>4500</v>
      </c>
      <c r="O47" s="14" t="s">
        <v>51</v>
      </c>
      <c r="P47" s="12" t="n">
        <v>4800</v>
      </c>
      <c r="Q47" s="16" t="n">
        <f aca="false">SUMIF($A$4:$A$114,A47,$N$4:$N$114)</f>
        <v>4812</v>
      </c>
      <c r="R47" s="16" t="n">
        <f aca="false">P47-Q47</f>
        <v>-12</v>
      </c>
      <c r="S47" s="12" t="str">
        <f aca="false">IF(ABS(R47)&lt;=0.02*P47,"mos","MOS EMAS")</f>
        <v>mos</v>
      </c>
      <c r="T47" s="15" t="n">
        <f aca="false">P47/1000</f>
        <v>4.8</v>
      </c>
      <c r="U47" s="14"/>
    </row>
    <row r="48" customFormat="false" ht="15" hidden="false" customHeight="false" outlineLevel="0" collapsed="false">
      <c r="A48" s="12" t="n">
        <v>34</v>
      </c>
      <c r="B48" s="13" t="s">
        <v>99</v>
      </c>
      <c r="C48" s="14" t="s">
        <v>95</v>
      </c>
      <c r="D48" s="14" t="s">
        <v>82</v>
      </c>
      <c r="E48" s="14" t="s">
        <v>84</v>
      </c>
      <c r="F48" s="14" t="s">
        <v>85</v>
      </c>
      <c r="G48" s="12" t="n">
        <v>53</v>
      </c>
      <c r="H48" s="12" t="n">
        <v>53</v>
      </c>
      <c r="I48" s="12" t="n">
        <v>25</v>
      </c>
      <c r="J48" s="12" t="n">
        <v>2.08</v>
      </c>
      <c r="K48" s="12" t="n">
        <v>6</v>
      </c>
      <c r="L48" s="15" t="n">
        <v>2.08</v>
      </c>
      <c r="M48" s="12" t="n">
        <v>150</v>
      </c>
      <c r="N48" s="16" t="n">
        <f aca="false">L48*M48</f>
        <v>312</v>
      </c>
      <c r="O48" s="14" t="s">
        <v>51</v>
      </c>
      <c r="P48" s="14"/>
      <c r="Q48" s="17"/>
      <c r="R48" s="17"/>
      <c r="S48" s="14"/>
      <c r="T48" s="18"/>
      <c r="U48" s="14"/>
    </row>
    <row r="49" customFormat="false" ht="15" hidden="false" customHeight="false" outlineLevel="0" collapsed="false">
      <c r="A49" s="7" t="n">
        <v>35</v>
      </c>
      <c r="B49" s="8" t="s">
        <v>86</v>
      </c>
      <c r="C49" s="9" t="s">
        <v>95</v>
      </c>
      <c r="D49" s="9" t="s">
        <v>82</v>
      </c>
      <c r="E49" s="9" t="s">
        <v>49</v>
      </c>
      <c r="F49" s="9" t="s">
        <v>83</v>
      </c>
      <c r="G49" s="7" t="n">
        <v>200</v>
      </c>
      <c r="H49" s="7" t="n">
        <v>200</v>
      </c>
      <c r="I49" s="7" t="n">
        <v>25</v>
      </c>
      <c r="J49" s="7" t="n">
        <v>25</v>
      </c>
      <c r="K49" s="7" t="n">
        <v>1</v>
      </c>
      <c r="L49" s="10" t="n">
        <v>25</v>
      </c>
      <c r="M49" s="7" t="n">
        <v>175</v>
      </c>
      <c r="N49" s="11" t="n">
        <f aca="false">L49*M49</f>
        <v>4375</v>
      </c>
      <c r="O49" s="9" t="s">
        <v>51</v>
      </c>
      <c r="P49" s="7" t="n">
        <v>4675</v>
      </c>
      <c r="Q49" s="11" t="n">
        <f aca="false">SUMIF($A$4:$A$114,A49,$N$4:$N$114)</f>
        <v>4687</v>
      </c>
      <c r="R49" s="11" t="n">
        <f aca="false">P49-Q49</f>
        <v>-12</v>
      </c>
      <c r="S49" s="7" t="str">
        <f aca="false">IF(ABS(R49)&lt;=0.02*P49,"mos","MOS EMAS")</f>
        <v>mos</v>
      </c>
      <c r="T49" s="10" t="n">
        <f aca="false">P49/1000</f>
        <v>4.675</v>
      </c>
      <c r="U49" s="9"/>
    </row>
    <row r="50" customFormat="false" ht="15" hidden="false" customHeight="false" outlineLevel="0" collapsed="false">
      <c r="A50" s="7" t="n">
        <v>35</v>
      </c>
      <c r="B50" s="8" t="s">
        <v>86</v>
      </c>
      <c r="C50" s="9" t="s">
        <v>95</v>
      </c>
      <c r="D50" s="9" t="s">
        <v>82</v>
      </c>
      <c r="E50" s="9" t="s">
        <v>84</v>
      </c>
      <c r="F50" s="9" t="s">
        <v>85</v>
      </c>
      <c r="G50" s="7" t="n">
        <v>53</v>
      </c>
      <c r="H50" s="7" t="n">
        <v>53</v>
      </c>
      <c r="I50" s="7" t="n">
        <v>25</v>
      </c>
      <c r="J50" s="7" t="n">
        <v>2.08</v>
      </c>
      <c r="K50" s="7" t="n">
        <v>6</v>
      </c>
      <c r="L50" s="10" t="n">
        <v>2.08</v>
      </c>
      <c r="M50" s="7" t="n">
        <v>150</v>
      </c>
      <c r="N50" s="11" t="n">
        <f aca="false">L50*M50</f>
        <v>312</v>
      </c>
      <c r="O50" s="9" t="s">
        <v>51</v>
      </c>
      <c r="P50" s="9"/>
      <c r="Q50" s="19"/>
      <c r="R50" s="19"/>
      <c r="S50" s="9"/>
      <c r="T50" s="20"/>
      <c r="U50" s="9"/>
    </row>
    <row r="51" customFormat="false" ht="15" hidden="false" customHeight="false" outlineLevel="0" collapsed="false">
      <c r="A51" s="12" t="n">
        <v>36</v>
      </c>
      <c r="B51" s="13" t="s">
        <v>100</v>
      </c>
      <c r="C51" s="14" t="s">
        <v>101</v>
      </c>
      <c r="D51" s="14" t="s">
        <v>102</v>
      </c>
      <c r="E51" s="14" t="s">
        <v>49</v>
      </c>
      <c r="F51" s="14" t="s">
        <v>103</v>
      </c>
      <c r="G51" s="12" t="n">
        <v>350</v>
      </c>
      <c r="H51" s="12" t="n">
        <v>350</v>
      </c>
      <c r="I51" s="12" t="n">
        <v>38</v>
      </c>
      <c r="J51" s="12" t="n">
        <v>8.2</v>
      </c>
      <c r="K51" s="12" t="n">
        <v>1</v>
      </c>
      <c r="L51" s="15" t="n">
        <v>8.2</v>
      </c>
      <c r="M51" s="12" t="n">
        <v>535</v>
      </c>
      <c r="N51" s="16" t="n">
        <f aca="false">L51*M51</f>
        <v>4387</v>
      </c>
      <c r="O51" s="14" t="s">
        <v>51</v>
      </c>
      <c r="P51" s="12" t="n">
        <v>4675</v>
      </c>
      <c r="Q51" s="16" t="n">
        <f aca="false">SUMIF($A$4:$A$114,A51,$N$4:$N$114)</f>
        <v>4674</v>
      </c>
      <c r="R51" s="16" t="n">
        <f aca="false">P51-Q51</f>
        <v>1</v>
      </c>
      <c r="S51" s="12" t="str">
        <f aca="false">IF(ABS(R51)&lt;=0.02*P51,"mos","MOS EMAS")</f>
        <v>mos</v>
      </c>
      <c r="T51" s="15" t="n">
        <f aca="false">P51/1000</f>
        <v>4.675</v>
      </c>
      <c r="U51" s="14"/>
    </row>
    <row r="52" customFormat="false" ht="15" hidden="false" customHeight="false" outlineLevel="0" collapsed="false">
      <c r="A52" s="12" t="n">
        <v>36</v>
      </c>
      <c r="B52" s="13" t="s">
        <v>100</v>
      </c>
      <c r="C52" s="14" t="s">
        <v>101</v>
      </c>
      <c r="D52" s="14" t="s">
        <v>102</v>
      </c>
      <c r="E52" s="14" t="s">
        <v>84</v>
      </c>
      <c r="F52" s="14" t="s">
        <v>85</v>
      </c>
      <c r="G52" s="12" t="n">
        <v>83</v>
      </c>
      <c r="H52" s="12" t="n">
        <v>83</v>
      </c>
      <c r="I52" s="12" t="n">
        <v>30</v>
      </c>
      <c r="J52" s="12" t="n">
        <v>4.1</v>
      </c>
      <c r="K52" s="12" t="n">
        <v>6</v>
      </c>
      <c r="L52" s="15" t="n">
        <f aca="false">J52/K52</f>
        <v>0.683333333333333</v>
      </c>
      <c r="M52" s="12" t="n">
        <v>270</v>
      </c>
      <c r="N52" s="16" t="n">
        <f aca="false">L52*M52</f>
        <v>184.5</v>
      </c>
      <c r="O52" s="14" t="s">
        <v>51</v>
      </c>
      <c r="P52" s="14"/>
      <c r="Q52" s="17"/>
      <c r="R52" s="17"/>
      <c r="S52" s="14"/>
      <c r="T52" s="18"/>
      <c r="U52" s="14"/>
    </row>
    <row r="53" customFormat="false" ht="15" hidden="false" customHeight="false" outlineLevel="0" collapsed="false">
      <c r="A53" s="12" t="n">
        <v>36</v>
      </c>
      <c r="B53" s="13" t="s">
        <v>100</v>
      </c>
      <c r="C53" s="14" t="s">
        <v>101</v>
      </c>
      <c r="D53" s="14" t="s">
        <v>102</v>
      </c>
      <c r="E53" s="14" t="s">
        <v>104</v>
      </c>
      <c r="F53" s="14" t="s">
        <v>85</v>
      </c>
      <c r="G53" s="12" t="n">
        <v>53</v>
      </c>
      <c r="H53" s="12" t="n">
        <v>53</v>
      </c>
      <c r="I53" s="12" t="n">
        <v>25</v>
      </c>
      <c r="J53" s="12" t="n">
        <v>4.1</v>
      </c>
      <c r="K53" s="12" t="n">
        <v>6</v>
      </c>
      <c r="L53" s="15" t="n">
        <f aca="false">J53/K53</f>
        <v>0.683333333333333</v>
      </c>
      <c r="M53" s="12" t="n">
        <v>150</v>
      </c>
      <c r="N53" s="16" t="n">
        <f aca="false">L53*M53</f>
        <v>102.5</v>
      </c>
      <c r="O53" s="14" t="s">
        <v>51</v>
      </c>
      <c r="P53" s="14"/>
      <c r="Q53" s="17"/>
      <c r="R53" s="17"/>
      <c r="S53" s="14"/>
      <c r="T53" s="18"/>
      <c r="U53" s="14"/>
    </row>
    <row r="54" customFormat="false" ht="15" hidden="false" customHeight="false" outlineLevel="0" collapsed="false">
      <c r="A54" s="7" t="n">
        <v>37</v>
      </c>
      <c r="B54" s="8" t="s">
        <v>105</v>
      </c>
      <c r="C54" s="9" t="s">
        <v>101</v>
      </c>
      <c r="D54" s="9" t="s">
        <v>102</v>
      </c>
      <c r="E54" s="9" t="s">
        <v>49</v>
      </c>
      <c r="F54" s="9" t="s">
        <v>103</v>
      </c>
      <c r="G54" s="7" t="n">
        <v>350</v>
      </c>
      <c r="H54" s="7" t="n">
        <v>350</v>
      </c>
      <c r="I54" s="7" t="n">
        <v>38</v>
      </c>
      <c r="J54" s="7" t="n">
        <v>8.2</v>
      </c>
      <c r="K54" s="7" t="n">
        <v>1</v>
      </c>
      <c r="L54" s="10" t="n">
        <v>8.2</v>
      </c>
      <c r="M54" s="7" t="n">
        <v>550</v>
      </c>
      <c r="N54" s="11" t="n">
        <f aca="false">L54*M54</f>
        <v>4510</v>
      </c>
      <c r="O54" s="9" t="s">
        <v>51</v>
      </c>
      <c r="P54" s="7" t="n">
        <v>4800</v>
      </c>
      <c r="Q54" s="11" t="n">
        <f aca="false">SUMIF($A$4:$A$114,A54,$N$4:$N$114)</f>
        <v>4797</v>
      </c>
      <c r="R54" s="11" t="n">
        <f aca="false">P54-Q54</f>
        <v>3</v>
      </c>
      <c r="S54" s="7" t="str">
        <f aca="false">IF(ABS(R54)&lt;=0.02*P54,"mos","MOS EMAS")</f>
        <v>mos</v>
      </c>
      <c r="T54" s="10" t="n">
        <f aca="false">P54/1000</f>
        <v>4.8</v>
      </c>
      <c r="U54" s="9"/>
    </row>
    <row r="55" customFormat="false" ht="15" hidden="false" customHeight="false" outlineLevel="0" collapsed="false">
      <c r="A55" s="7" t="n">
        <v>37</v>
      </c>
      <c r="B55" s="8" t="s">
        <v>105</v>
      </c>
      <c r="C55" s="9" t="s">
        <v>101</v>
      </c>
      <c r="D55" s="9" t="s">
        <v>102</v>
      </c>
      <c r="E55" s="9" t="s">
        <v>84</v>
      </c>
      <c r="F55" s="9" t="s">
        <v>85</v>
      </c>
      <c r="G55" s="7" t="n">
        <v>83</v>
      </c>
      <c r="H55" s="7" t="n">
        <v>83</v>
      </c>
      <c r="I55" s="7" t="n">
        <v>30</v>
      </c>
      <c r="J55" s="7" t="n">
        <v>4.1</v>
      </c>
      <c r="K55" s="7" t="n">
        <v>6</v>
      </c>
      <c r="L55" s="10" t="n">
        <f aca="false">J55/K55</f>
        <v>0.683333333333333</v>
      </c>
      <c r="M55" s="7" t="n">
        <v>270</v>
      </c>
      <c r="N55" s="11" t="n">
        <f aca="false">L55*M55</f>
        <v>184.5</v>
      </c>
      <c r="O55" s="9" t="s">
        <v>51</v>
      </c>
      <c r="P55" s="9"/>
      <c r="Q55" s="19"/>
      <c r="R55" s="19"/>
      <c r="S55" s="9"/>
      <c r="T55" s="20"/>
      <c r="U55" s="9"/>
    </row>
    <row r="56" customFormat="false" ht="15" hidden="false" customHeight="false" outlineLevel="0" collapsed="false">
      <c r="A56" s="7" t="n">
        <v>37</v>
      </c>
      <c r="B56" s="8" t="s">
        <v>105</v>
      </c>
      <c r="C56" s="9" t="s">
        <v>101</v>
      </c>
      <c r="D56" s="9" t="s">
        <v>102</v>
      </c>
      <c r="E56" s="9" t="s">
        <v>104</v>
      </c>
      <c r="F56" s="9" t="s">
        <v>85</v>
      </c>
      <c r="G56" s="7" t="n">
        <v>53</v>
      </c>
      <c r="H56" s="7" t="n">
        <v>53</v>
      </c>
      <c r="I56" s="7" t="n">
        <v>25</v>
      </c>
      <c r="J56" s="7" t="n">
        <v>4.1</v>
      </c>
      <c r="K56" s="7" t="n">
        <v>6</v>
      </c>
      <c r="L56" s="10" t="n">
        <f aca="false">J56/K56</f>
        <v>0.683333333333333</v>
      </c>
      <c r="M56" s="7" t="n">
        <v>150</v>
      </c>
      <c r="N56" s="11" t="n">
        <f aca="false">L56*M56</f>
        <v>102.5</v>
      </c>
      <c r="O56" s="9" t="s">
        <v>51</v>
      </c>
      <c r="P56" s="9"/>
      <c r="Q56" s="19"/>
      <c r="R56" s="19"/>
      <c r="S56" s="9"/>
      <c r="T56" s="20"/>
      <c r="U56" s="9"/>
    </row>
    <row r="57" customFormat="false" ht="15" hidden="false" customHeight="false" outlineLevel="0" collapsed="false">
      <c r="A57" s="12" t="n">
        <v>38</v>
      </c>
      <c r="B57" s="13" t="s">
        <v>106</v>
      </c>
      <c r="C57" s="14" t="s">
        <v>107</v>
      </c>
      <c r="D57" s="14" t="s">
        <v>82</v>
      </c>
      <c r="E57" s="14" t="s">
        <v>49</v>
      </c>
      <c r="F57" s="14" t="s">
        <v>50</v>
      </c>
      <c r="G57" s="12" t="n">
        <v>170</v>
      </c>
      <c r="H57" s="12" t="n">
        <v>170</v>
      </c>
      <c r="I57" s="12" t="n">
        <v>25</v>
      </c>
      <c r="J57" s="12" t="n">
        <v>30</v>
      </c>
      <c r="K57" s="12" t="n">
        <v>1</v>
      </c>
      <c r="L57" s="15" t="n">
        <v>30</v>
      </c>
      <c r="M57" s="12" t="n">
        <v>130</v>
      </c>
      <c r="N57" s="16" t="n">
        <f aca="false">L57*M57</f>
        <v>3900</v>
      </c>
      <c r="O57" s="14" t="s">
        <v>51</v>
      </c>
      <c r="P57" s="12" t="n">
        <v>4650</v>
      </c>
      <c r="Q57" s="16" t="n">
        <f aca="false">SUMIF($A$4:$A$114,A57,$N$4:$N$114)</f>
        <v>4650</v>
      </c>
      <c r="R57" s="16" t="n">
        <f aca="false">P57-Q57</f>
        <v>0</v>
      </c>
      <c r="S57" s="12" t="str">
        <f aca="false">IF(ABS(R57)&lt;=0.02*P57,"mos","MOS EMAS")</f>
        <v>mos</v>
      </c>
      <c r="T57" s="15" t="n">
        <f aca="false">P57/1000</f>
        <v>4.65</v>
      </c>
      <c r="U57" s="14"/>
    </row>
    <row r="58" customFormat="false" ht="15" hidden="false" customHeight="false" outlineLevel="0" collapsed="false">
      <c r="A58" s="12" t="n">
        <v>38</v>
      </c>
      <c r="B58" s="13" t="s">
        <v>106</v>
      </c>
      <c r="C58" s="14" t="s">
        <v>107</v>
      </c>
      <c r="D58" s="14" t="s">
        <v>82</v>
      </c>
      <c r="E58" s="14" t="s">
        <v>84</v>
      </c>
      <c r="F58" s="14" t="s">
        <v>85</v>
      </c>
      <c r="G58" s="12" t="n">
        <v>60</v>
      </c>
      <c r="H58" s="12" t="n">
        <v>60</v>
      </c>
      <c r="I58" s="12" t="n">
        <v>20</v>
      </c>
      <c r="J58" s="12" t="n">
        <v>30</v>
      </c>
      <c r="K58" s="12" t="n">
        <v>6</v>
      </c>
      <c r="L58" s="15" t="n">
        <f aca="false">J58/K58</f>
        <v>5</v>
      </c>
      <c r="M58" s="12" t="n">
        <v>150</v>
      </c>
      <c r="N58" s="16" t="n">
        <f aca="false">L58*M58</f>
        <v>750</v>
      </c>
      <c r="O58" s="14" t="s">
        <v>51</v>
      </c>
      <c r="P58" s="14"/>
      <c r="Q58" s="17"/>
      <c r="R58" s="17"/>
      <c r="S58" s="14"/>
      <c r="T58" s="18"/>
      <c r="U58" s="14"/>
    </row>
    <row r="59" customFormat="false" ht="15" hidden="false" customHeight="false" outlineLevel="0" collapsed="false">
      <c r="A59" s="7" t="n">
        <v>39</v>
      </c>
      <c r="B59" s="8" t="s">
        <v>108</v>
      </c>
      <c r="C59" s="9" t="s">
        <v>109</v>
      </c>
      <c r="D59" s="9" t="s">
        <v>110</v>
      </c>
      <c r="E59" s="9" t="s">
        <v>49</v>
      </c>
      <c r="F59" s="9" t="s">
        <v>111</v>
      </c>
      <c r="G59" s="7" t="n">
        <v>180</v>
      </c>
      <c r="H59" s="7" t="n">
        <v>360</v>
      </c>
      <c r="I59" s="7" t="n">
        <v>38</v>
      </c>
      <c r="J59" s="7" t="n">
        <v>14.5</v>
      </c>
      <c r="K59" s="7" t="n">
        <v>1</v>
      </c>
      <c r="L59" s="10" t="n">
        <v>14.5</v>
      </c>
      <c r="M59" s="7" t="n">
        <v>300</v>
      </c>
      <c r="N59" s="11" t="n">
        <f aca="false">L59*M59</f>
        <v>4350</v>
      </c>
      <c r="O59" s="9" t="s">
        <v>51</v>
      </c>
      <c r="P59" s="7" t="n">
        <v>5170</v>
      </c>
      <c r="Q59" s="11" t="n">
        <f aca="false">SUMIF($A$4:$A$114,A59,$N$4:$N$114)</f>
        <v>5763.75</v>
      </c>
      <c r="R59" s="11" t="n">
        <f aca="false">P59-Q59</f>
        <v>-593.75</v>
      </c>
      <c r="S59" s="7" t="str">
        <f aca="false">IF(ABS(R59)&lt;=0.02*P59,"mos","MOS EMAS")</f>
        <v>MOS EMAS</v>
      </c>
      <c r="T59" s="10" t="n">
        <f aca="false">P59/1000</f>
        <v>5.17</v>
      </c>
      <c r="U59" s="9" t="s">
        <v>112</v>
      </c>
    </row>
    <row r="60" customFormat="false" ht="15" hidden="false" customHeight="false" outlineLevel="0" collapsed="false">
      <c r="A60" s="7" t="n">
        <v>39</v>
      </c>
      <c r="B60" s="8" t="s">
        <v>108</v>
      </c>
      <c r="C60" s="9" t="s">
        <v>109</v>
      </c>
      <c r="D60" s="9" t="s">
        <v>110</v>
      </c>
      <c r="E60" s="9" t="s">
        <v>84</v>
      </c>
      <c r="F60" s="9" t="s">
        <v>113</v>
      </c>
      <c r="G60" s="7" t="n">
        <v>180</v>
      </c>
      <c r="H60" s="7" t="n">
        <v>90</v>
      </c>
      <c r="I60" s="7" t="n">
        <v>38</v>
      </c>
      <c r="J60" s="7" t="n">
        <v>14.5</v>
      </c>
      <c r="K60" s="7" t="n">
        <v>2</v>
      </c>
      <c r="L60" s="10" t="n">
        <f aca="false">J60/K60</f>
        <v>7.25</v>
      </c>
      <c r="M60" s="7" t="n">
        <v>195</v>
      </c>
      <c r="N60" s="11" t="n">
        <f aca="false">L60*M60</f>
        <v>1413.75</v>
      </c>
      <c r="O60" s="9" t="s">
        <v>51</v>
      </c>
      <c r="P60" s="9"/>
      <c r="Q60" s="19"/>
      <c r="R60" s="19"/>
      <c r="S60" s="9"/>
      <c r="T60" s="20"/>
      <c r="U60" s="9"/>
    </row>
    <row r="61" customFormat="false" ht="15" hidden="false" customHeight="false" outlineLevel="0" collapsed="false">
      <c r="A61" s="12" t="n">
        <v>40</v>
      </c>
      <c r="B61" s="13" t="s">
        <v>114</v>
      </c>
      <c r="C61" s="14" t="s">
        <v>109</v>
      </c>
      <c r="D61" s="14" t="s">
        <v>82</v>
      </c>
      <c r="E61" s="14" t="s">
        <v>49</v>
      </c>
      <c r="F61" s="14" t="s">
        <v>111</v>
      </c>
      <c r="G61" s="12" t="n">
        <v>180</v>
      </c>
      <c r="H61" s="12" t="n">
        <v>360</v>
      </c>
      <c r="I61" s="12" t="n">
        <v>38</v>
      </c>
      <c r="J61" s="12" t="n">
        <v>14.5</v>
      </c>
      <c r="K61" s="12" t="n">
        <v>1</v>
      </c>
      <c r="L61" s="15" t="n">
        <v>14.5</v>
      </c>
      <c r="M61" s="12" t="n">
        <v>280</v>
      </c>
      <c r="N61" s="16" t="n">
        <f aca="false">L61*M61</f>
        <v>4060</v>
      </c>
      <c r="O61" s="14" t="s">
        <v>51</v>
      </c>
      <c r="P61" s="12" t="n">
        <v>4710</v>
      </c>
      <c r="Q61" s="16" t="n">
        <f aca="false">SUMIF($A$4:$A$114,A61,$N$4:$N$114)</f>
        <v>4712.5</v>
      </c>
      <c r="R61" s="16" t="n">
        <f aca="false">P61-Q61</f>
        <v>-2.5</v>
      </c>
      <c r="S61" s="12" t="str">
        <f aca="false">IF(ABS(R61)&lt;=0.02*P61,"mos","MOS EMAS")</f>
        <v>mos</v>
      </c>
      <c r="T61" s="15" t="n">
        <f aca="false">P61/1000</f>
        <v>4.71</v>
      </c>
      <c r="U61" s="14"/>
    </row>
    <row r="62" customFormat="false" ht="15" hidden="false" customHeight="false" outlineLevel="0" collapsed="false">
      <c r="A62" s="12" t="n">
        <v>40</v>
      </c>
      <c r="B62" s="13" t="s">
        <v>114</v>
      </c>
      <c r="C62" s="14" t="s">
        <v>109</v>
      </c>
      <c r="D62" s="14" t="s">
        <v>82</v>
      </c>
      <c r="E62" s="14" t="s">
        <v>84</v>
      </c>
      <c r="F62" s="14" t="s">
        <v>85</v>
      </c>
      <c r="G62" s="12" t="n">
        <v>83</v>
      </c>
      <c r="H62" s="12" t="n">
        <v>83</v>
      </c>
      <c r="I62" s="12" t="n">
        <v>30</v>
      </c>
      <c r="J62" s="12" t="n">
        <v>14.5</v>
      </c>
      <c r="K62" s="12" t="n">
        <v>6</v>
      </c>
      <c r="L62" s="15" t="n">
        <f aca="false">J62/K62</f>
        <v>2.41666666666667</v>
      </c>
      <c r="M62" s="12" t="n">
        <v>270</v>
      </c>
      <c r="N62" s="16" t="n">
        <f aca="false">L62*M62</f>
        <v>652.5</v>
      </c>
      <c r="O62" s="14" t="s">
        <v>51</v>
      </c>
      <c r="P62" s="14"/>
      <c r="Q62" s="17"/>
      <c r="R62" s="17"/>
      <c r="S62" s="14"/>
      <c r="T62" s="18"/>
      <c r="U62" s="14"/>
    </row>
    <row r="63" customFormat="false" ht="15" hidden="false" customHeight="false" outlineLevel="0" collapsed="false">
      <c r="A63" s="7" t="n">
        <v>41</v>
      </c>
      <c r="B63" s="8" t="s">
        <v>115</v>
      </c>
      <c r="C63" s="9" t="s">
        <v>109</v>
      </c>
      <c r="D63" s="9" t="s">
        <v>82</v>
      </c>
      <c r="E63" s="9" t="s">
        <v>49</v>
      </c>
      <c r="F63" s="9" t="s">
        <v>111</v>
      </c>
      <c r="G63" s="7" t="n">
        <v>180</v>
      </c>
      <c r="H63" s="7" t="n">
        <v>360</v>
      </c>
      <c r="I63" s="7" t="n">
        <v>38</v>
      </c>
      <c r="J63" s="7" t="n">
        <v>14.5</v>
      </c>
      <c r="K63" s="7" t="n">
        <v>1</v>
      </c>
      <c r="L63" s="10" t="n">
        <v>14.5</v>
      </c>
      <c r="M63" s="7" t="n">
        <v>330</v>
      </c>
      <c r="N63" s="11" t="n">
        <f aca="false">L63*M63</f>
        <v>4785</v>
      </c>
      <c r="O63" s="9" t="s">
        <v>51</v>
      </c>
      <c r="P63" s="7" t="n">
        <v>5435</v>
      </c>
      <c r="Q63" s="11" t="n">
        <f aca="false">SUMIF($A$4:$A$114,A63,$N$4:$N$114)</f>
        <v>5437.5</v>
      </c>
      <c r="R63" s="11" t="n">
        <f aca="false">P63-Q63</f>
        <v>-2.5</v>
      </c>
      <c r="S63" s="7" t="str">
        <f aca="false">IF(ABS(R63)&lt;=0.02*P63,"mos","MOS EMAS")</f>
        <v>mos</v>
      </c>
      <c r="T63" s="10" t="n">
        <f aca="false">P63/1000</f>
        <v>5.435</v>
      </c>
      <c r="U63" s="9"/>
    </row>
    <row r="64" customFormat="false" ht="15" hidden="false" customHeight="false" outlineLevel="0" collapsed="false">
      <c r="A64" s="7" t="n">
        <v>41</v>
      </c>
      <c r="B64" s="8" t="s">
        <v>115</v>
      </c>
      <c r="C64" s="9" t="s">
        <v>109</v>
      </c>
      <c r="D64" s="9" t="s">
        <v>82</v>
      </c>
      <c r="E64" s="9" t="s">
        <v>84</v>
      </c>
      <c r="F64" s="9" t="s">
        <v>85</v>
      </c>
      <c r="G64" s="7" t="n">
        <v>83</v>
      </c>
      <c r="H64" s="7" t="n">
        <v>83</v>
      </c>
      <c r="I64" s="7" t="n">
        <v>30</v>
      </c>
      <c r="J64" s="7" t="n">
        <v>14.5</v>
      </c>
      <c r="K64" s="7" t="n">
        <v>6</v>
      </c>
      <c r="L64" s="10" t="n">
        <f aca="false">J64/K64</f>
        <v>2.41666666666667</v>
      </c>
      <c r="M64" s="7" t="n">
        <v>270</v>
      </c>
      <c r="N64" s="11" t="n">
        <f aca="false">L64*M64</f>
        <v>652.5</v>
      </c>
      <c r="O64" s="9" t="s">
        <v>51</v>
      </c>
      <c r="P64" s="9"/>
      <c r="Q64" s="19"/>
      <c r="R64" s="19"/>
      <c r="S64" s="9"/>
      <c r="T64" s="20"/>
      <c r="U64" s="9"/>
    </row>
    <row r="65" customFormat="false" ht="15" hidden="false" customHeight="false" outlineLevel="0" collapsed="false">
      <c r="A65" s="12" t="n">
        <v>42</v>
      </c>
      <c r="B65" s="13" t="s">
        <v>116</v>
      </c>
      <c r="C65" s="14" t="s">
        <v>109</v>
      </c>
      <c r="D65" s="14" t="s">
        <v>82</v>
      </c>
      <c r="E65" s="14" t="s">
        <v>49</v>
      </c>
      <c r="F65" s="14" t="s">
        <v>111</v>
      </c>
      <c r="G65" s="12" t="n">
        <v>180</v>
      </c>
      <c r="H65" s="12" t="n">
        <v>360</v>
      </c>
      <c r="I65" s="12" t="n">
        <v>38</v>
      </c>
      <c r="J65" s="12" t="n">
        <v>14.5</v>
      </c>
      <c r="K65" s="12" t="n">
        <v>1</v>
      </c>
      <c r="L65" s="15" t="n">
        <v>14.5</v>
      </c>
      <c r="M65" s="12" t="n">
        <v>320</v>
      </c>
      <c r="N65" s="16" t="n">
        <f aca="false">L65*M65</f>
        <v>4640</v>
      </c>
      <c r="O65" s="14" t="s">
        <v>51</v>
      </c>
      <c r="P65" s="12" t="n">
        <v>5290</v>
      </c>
      <c r="Q65" s="16" t="n">
        <f aca="false">SUMIF($A$4:$A$114,A65,$N$4:$N$114)</f>
        <v>5292.5</v>
      </c>
      <c r="R65" s="16" t="n">
        <f aca="false">P65-Q65</f>
        <v>-2.5</v>
      </c>
      <c r="S65" s="12" t="str">
        <f aca="false">IF(ABS(R65)&lt;=0.02*P65,"mos","MOS EMAS")</f>
        <v>mos</v>
      </c>
      <c r="T65" s="15" t="n">
        <f aca="false">P65/1000</f>
        <v>5.29</v>
      </c>
      <c r="U65" s="14"/>
    </row>
    <row r="66" customFormat="false" ht="15" hidden="false" customHeight="false" outlineLevel="0" collapsed="false">
      <c r="A66" s="12" t="n">
        <v>42</v>
      </c>
      <c r="B66" s="13" t="s">
        <v>116</v>
      </c>
      <c r="C66" s="14" t="s">
        <v>109</v>
      </c>
      <c r="D66" s="14" t="s">
        <v>82</v>
      </c>
      <c r="E66" s="14" t="s">
        <v>84</v>
      </c>
      <c r="F66" s="14" t="s">
        <v>85</v>
      </c>
      <c r="G66" s="12" t="n">
        <v>83</v>
      </c>
      <c r="H66" s="12" t="n">
        <v>83</v>
      </c>
      <c r="I66" s="12" t="n">
        <v>30</v>
      </c>
      <c r="J66" s="12" t="n">
        <v>14.5</v>
      </c>
      <c r="K66" s="12" t="n">
        <v>6</v>
      </c>
      <c r="L66" s="15" t="n">
        <f aca="false">J66/K66</f>
        <v>2.41666666666667</v>
      </c>
      <c r="M66" s="12" t="n">
        <v>270</v>
      </c>
      <c r="N66" s="16" t="n">
        <f aca="false">L66*M66</f>
        <v>652.5</v>
      </c>
      <c r="O66" s="14" t="s">
        <v>51</v>
      </c>
      <c r="P66" s="14"/>
      <c r="Q66" s="17"/>
      <c r="R66" s="17"/>
      <c r="S66" s="14"/>
      <c r="T66" s="18"/>
      <c r="U66" s="14"/>
    </row>
    <row r="67" customFormat="false" ht="15" hidden="false" customHeight="false" outlineLevel="0" collapsed="false">
      <c r="A67" s="7" t="n">
        <v>43</v>
      </c>
      <c r="B67" s="8" t="s">
        <v>117</v>
      </c>
      <c r="C67" s="9" t="s">
        <v>118</v>
      </c>
      <c r="D67" s="9" t="s">
        <v>119</v>
      </c>
      <c r="E67" s="9" t="s">
        <v>49</v>
      </c>
      <c r="F67" s="9" t="s">
        <v>120</v>
      </c>
      <c r="G67" s="7" t="n">
        <v>210</v>
      </c>
      <c r="H67" s="7" t="n">
        <v>210</v>
      </c>
      <c r="I67" s="7" t="n">
        <v>40</v>
      </c>
      <c r="J67" s="7" t="n">
        <v>9</v>
      </c>
      <c r="K67" s="7" t="n">
        <v>1</v>
      </c>
      <c r="L67" s="10" t="n">
        <v>9</v>
      </c>
      <c r="M67" s="7" t="n">
        <v>220</v>
      </c>
      <c r="N67" s="11" t="n">
        <f aca="false">L67*M67</f>
        <v>1980</v>
      </c>
      <c r="O67" s="9" t="s">
        <v>51</v>
      </c>
      <c r="P67" s="7" t="n">
        <v>5040</v>
      </c>
      <c r="Q67" s="11" t="n">
        <f aca="false">SUMIF($A$4:$A$114,A67,$N$4:$N$114)</f>
        <v>5040</v>
      </c>
      <c r="R67" s="11" t="n">
        <f aca="false">P67-Q67</f>
        <v>0</v>
      </c>
      <c r="S67" s="7" t="str">
        <f aca="false">IF(ABS(R67)&lt;=0.02*P67,"mos","MOS EMAS")</f>
        <v>mos</v>
      </c>
      <c r="T67" s="10" t="n">
        <f aca="false">P67/1000</f>
        <v>5.04</v>
      </c>
      <c r="U67" s="9"/>
    </row>
    <row r="68" customFormat="false" ht="15" hidden="false" customHeight="false" outlineLevel="0" collapsed="false">
      <c r="A68" s="7" t="n">
        <v>43</v>
      </c>
      <c r="B68" s="8" t="s">
        <v>117</v>
      </c>
      <c r="C68" s="9" t="s">
        <v>118</v>
      </c>
      <c r="D68" s="9" t="s">
        <v>119</v>
      </c>
      <c r="E68" s="9" t="s">
        <v>84</v>
      </c>
      <c r="F68" s="9" t="s">
        <v>121</v>
      </c>
      <c r="G68" s="7" t="n">
        <v>320</v>
      </c>
      <c r="H68" s="7" t="n">
        <v>175</v>
      </c>
      <c r="I68" s="7" t="n">
        <v>40</v>
      </c>
      <c r="J68" s="7" t="n">
        <v>18</v>
      </c>
      <c r="K68" s="7" t="n">
        <v>1</v>
      </c>
      <c r="L68" s="10" t="n">
        <v>18</v>
      </c>
      <c r="M68" s="7" t="n">
        <v>170</v>
      </c>
      <c r="N68" s="11" t="n">
        <f aca="false">L68*M68</f>
        <v>3060</v>
      </c>
      <c r="O68" s="9" t="s">
        <v>51</v>
      </c>
      <c r="P68" s="9"/>
      <c r="Q68" s="19"/>
      <c r="R68" s="19"/>
      <c r="S68" s="9"/>
      <c r="T68" s="20"/>
      <c r="U68" s="9"/>
    </row>
    <row r="69" customFormat="false" ht="15" hidden="false" customHeight="false" outlineLevel="0" collapsed="false">
      <c r="A69" s="12" t="n">
        <v>44</v>
      </c>
      <c r="B69" s="13" t="s">
        <v>122</v>
      </c>
      <c r="C69" s="14" t="s">
        <v>118</v>
      </c>
      <c r="D69" s="14" t="s">
        <v>119</v>
      </c>
      <c r="E69" s="14" t="s">
        <v>49</v>
      </c>
      <c r="F69" s="14" t="s">
        <v>123</v>
      </c>
      <c r="G69" s="12" t="n">
        <v>215</v>
      </c>
      <c r="H69" s="12" t="n">
        <v>215</v>
      </c>
      <c r="I69" s="12" t="n">
        <v>40</v>
      </c>
      <c r="J69" s="12" t="n">
        <v>13</v>
      </c>
      <c r="K69" s="12" t="n">
        <v>1</v>
      </c>
      <c r="L69" s="15" t="n">
        <v>13</v>
      </c>
      <c r="M69" s="12" t="n">
        <v>135</v>
      </c>
      <c r="N69" s="16" t="n">
        <f aca="false">L69*M69</f>
        <v>1755</v>
      </c>
      <c r="O69" s="14" t="s">
        <v>51</v>
      </c>
      <c r="P69" s="12" t="n">
        <v>5080</v>
      </c>
      <c r="Q69" s="16" t="n">
        <f aca="false">SUMIF($A$4:$A$114,A69,$N$4:$N$114)</f>
        <v>5080</v>
      </c>
      <c r="R69" s="16" t="n">
        <f aca="false">P69-Q69</f>
        <v>0</v>
      </c>
      <c r="S69" s="12" t="str">
        <f aca="false">IF(ABS(R69)&lt;=0.02*P69,"mos","MOS EMAS")</f>
        <v>mos</v>
      </c>
      <c r="T69" s="15" t="n">
        <f aca="false">P69/1000</f>
        <v>5.08</v>
      </c>
      <c r="U69" s="14"/>
    </row>
    <row r="70" customFormat="false" ht="15" hidden="false" customHeight="false" outlineLevel="0" collapsed="false">
      <c r="A70" s="12" t="n">
        <v>44</v>
      </c>
      <c r="B70" s="13" t="s">
        <v>122</v>
      </c>
      <c r="C70" s="14" t="s">
        <v>118</v>
      </c>
      <c r="D70" s="14" t="s">
        <v>119</v>
      </c>
      <c r="E70" s="14" t="s">
        <v>84</v>
      </c>
      <c r="F70" s="14" t="s">
        <v>124</v>
      </c>
      <c r="G70" s="12" t="n">
        <v>125</v>
      </c>
      <c r="H70" s="12" t="n">
        <v>410</v>
      </c>
      <c r="I70" s="12" t="n">
        <v>40</v>
      </c>
      <c r="J70" s="12" t="n">
        <v>19</v>
      </c>
      <c r="K70" s="12" t="n">
        <v>1</v>
      </c>
      <c r="L70" s="15" t="n">
        <v>19</v>
      </c>
      <c r="M70" s="12" t="n">
        <v>175</v>
      </c>
      <c r="N70" s="16" t="n">
        <f aca="false">L70*M70</f>
        <v>3325</v>
      </c>
      <c r="O70" s="14" t="s">
        <v>51</v>
      </c>
      <c r="P70" s="14"/>
      <c r="Q70" s="17"/>
      <c r="R70" s="17"/>
      <c r="S70" s="14"/>
      <c r="T70" s="18"/>
      <c r="U70" s="14"/>
    </row>
    <row r="71" customFormat="false" ht="15" hidden="false" customHeight="false" outlineLevel="0" collapsed="false">
      <c r="A71" s="7" t="n">
        <v>45</v>
      </c>
      <c r="B71" s="8" t="s">
        <v>125</v>
      </c>
      <c r="C71" s="9" t="s">
        <v>118</v>
      </c>
      <c r="D71" s="9" t="s">
        <v>119</v>
      </c>
      <c r="E71" s="9" t="s">
        <v>49</v>
      </c>
      <c r="F71" s="9" t="s">
        <v>126</v>
      </c>
      <c r="G71" s="7" t="n">
        <v>240</v>
      </c>
      <c r="H71" s="7" t="n">
        <v>300</v>
      </c>
      <c r="I71" s="7" t="n">
        <v>38</v>
      </c>
      <c r="J71" s="7" t="n">
        <v>17</v>
      </c>
      <c r="K71" s="7" t="n">
        <v>1</v>
      </c>
      <c r="L71" s="10" t="n">
        <v>17</v>
      </c>
      <c r="M71" s="7" t="n">
        <v>280</v>
      </c>
      <c r="N71" s="11" t="n">
        <f aca="false">L71*M71</f>
        <v>4760</v>
      </c>
      <c r="O71" s="9" t="s">
        <v>51</v>
      </c>
      <c r="P71" s="7" t="n">
        <v>5700</v>
      </c>
      <c r="Q71" s="11" t="n">
        <f aca="false">SUMIF($A$4:$A$114,A71,$N$4:$N$114)</f>
        <v>5695</v>
      </c>
      <c r="R71" s="11" t="n">
        <f aca="false">P71-Q71</f>
        <v>5</v>
      </c>
      <c r="S71" s="7" t="str">
        <f aca="false">IF(ABS(R71)&lt;=0.02*P71,"mos","MOS EMAS")</f>
        <v>mos</v>
      </c>
      <c r="T71" s="10" t="n">
        <f aca="false">P71/1000</f>
        <v>5.7</v>
      </c>
      <c r="U71" s="9" t="s">
        <v>127</v>
      </c>
    </row>
    <row r="72" customFormat="false" ht="15" hidden="false" customHeight="false" outlineLevel="0" collapsed="false">
      <c r="A72" s="7" t="n">
        <v>45</v>
      </c>
      <c r="B72" s="8" t="s">
        <v>125</v>
      </c>
      <c r="C72" s="9" t="s">
        <v>118</v>
      </c>
      <c r="D72" s="9" t="s">
        <v>119</v>
      </c>
      <c r="E72" s="9" t="s">
        <v>84</v>
      </c>
      <c r="F72" s="9" t="s">
        <v>128</v>
      </c>
      <c r="G72" s="7" t="n">
        <v>175</v>
      </c>
      <c r="H72" s="7" t="n">
        <v>115</v>
      </c>
      <c r="I72" s="7" t="n">
        <v>38</v>
      </c>
      <c r="J72" s="7" t="n">
        <v>8.5</v>
      </c>
      <c r="K72" s="7" t="n">
        <v>1</v>
      </c>
      <c r="L72" s="10" t="n">
        <v>8.5</v>
      </c>
      <c r="M72" s="7" t="n">
        <v>110</v>
      </c>
      <c r="N72" s="11" t="n">
        <f aca="false">L72*M72</f>
        <v>935</v>
      </c>
      <c r="O72" s="9" t="s">
        <v>51</v>
      </c>
      <c r="P72" s="9"/>
      <c r="Q72" s="19"/>
      <c r="R72" s="19"/>
      <c r="S72" s="9"/>
      <c r="T72" s="20"/>
      <c r="U72" s="9"/>
    </row>
    <row r="73" customFormat="false" ht="15" hidden="false" customHeight="false" outlineLevel="0" collapsed="false">
      <c r="A73" s="12" t="n">
        <v>46</v>
      </c>
      <c r="B73" s="13" t="s">
        <v>129</v>
      </c>
      <c r="C73" s="14" t="s">
        <v>118</v>
      </c>
      <c r="D73" s="14" t="s">
        <v>119</v>
      </c>
      <c r="E73" s="14" t="s">
        <v>49</v>
      </c>
      <c r="F73" s="14" t="s">
        <v>130</v>
      </c>
      <c r="G73" s="12" t="n">
        <v>290</v>
      </c>
      <c r="H73" s="12" t="n">
        <v>290</v>
      </c>
      <c r="I73" s="12" t="n">
        <v>45</v>
      </c>
      <c r="J73" s="12" t="n">
        <v>12</v>
      </c>
      <c r="K73" s="12" t="n">
        <v>1</v>
      </c>
      <c r="L73" s="15" t="n">
        <v>12</v>
      </c>
      <c r="M73" s="12" t="n">
        <v>260</v>
      </c>
      <c r="N73" s="16" t="n">
        <f aca="false">L73*M73</f>
        <v>3120</v>
      </c>
      <c r="O73" s="14" t="s">
        <v>51</v>
      </c>
      <c r="P73" s="12" t="n">
        <v>5040</v>
      </c>
      <c r="Q73" s="16" t="n">
        <f aca="false">SUMIF($A$4:$A$114,A73,$N$4:$N$114)</f>
        <v>5040</v>
      </c>
      <c r="R73" s="16" t="n">
        <f aca="false">P73-Q73</f>
        <v>0</v>
      </c>
      <c r="S73" s="12" t="str">
        <f aca="false">IF(ABS(R73)&lt;=0.02*P73,"mos","MOS EMAS")</f>
        <v>mos</v>
      </c>
      <c r="T73" s="15" t="n">
        <f aca="false">P73/1000</f>
        <v>5.04</v>
      </c>
      <c r="U73" s="14"/>
    </row>
    <row r="74" customFormat="false" ht="15" hidden="false" customHeight="false" outlineLevel="0" collapsed="false">
      <c r="A74" s="12" t="n">
        <v>46</v>
      </c>
      <c r="B74" s="13" t="s">
        <v>129</v>
      </c>
      <c r="C74" s="14" t="s">
        <v>118</v>
      </c>
      <c r="D74" s="14" t="s">
        <v>119</v>
      </c>
      <c r="E74" s="14" t="s">
        <v>84</v>
      </c>
      <c r="F74" s="14" t="s">
        <v>131</v>
      </c>
      <c r="G74" s="12" t="n">
        <v>190</v>
      </c>
      <c r="H74" s="12" t="n">
        <v>190</v>
      </c>
      <c r="I74" s="12" t="n">
        <v>45</v>
      </c>
      <c r="J74" s="12" t="n">
        <v>12</v>
      </c>
      <c r="K74" s="12" t="n">
        <v>1</v>
      </c>
      <c r="L74" s="15" t="n">
        <v>12</v>
      </c>
      <c r="M74" s="12" t="n">
        <v>160</v>
      </c>
      <c r="N74" s="16" t="n">
        <f aca="false">L74*M74</f>
        <v>1920</v>
      </c>
      <c r="O74" s="14" t="s">
        <v>51</v>
      </c>
      <c r="P74" s="14"/>
      <c r="Q74" s="17"/>
      <c r="R74" s="17"/>
      <c r="S74" s="14"/>
      <c r="T74" s="18"/>
      <c r="U74" s="14"/>
    </row>
    <row r="75" customFormat="false" ht="15" hidden="false" customHeight="false" outlineLevel="0" collapsed="false">
      <c r="A75" s="7" t="n">
        <v>47</v>
      </c>
      <c r="B75" s="8" t="s">
        <v>132</v>
      </c>
      <c r="C75" s="9" t="s">
        <v>118</v>
      </c>
      <c r="D75" s="9" t="s">
        <v>119</v>
      </c>
      <c r="E75" s="9" t="s">
        <v>49</v>
      </c>
      <c r="F75" s="9" t="s">
        <v>130</v>
      </c>
      <c r="G75" s="7" t="n">
        <v>290</v>
      </c>
      <c r="H75" s="7" t="n">
        <v>290</v>
      </c>
      <c r="I75" s="7" t="n">
        <v>45</v>
      </c>
      <c r="J75" s="7" t="n">
        <v>12</v>
      </c>
      <c r="K75" s="7" t="n">
        <v>1</v>
      </c>
      <c r="L75" s="10" t="n">
        <v>12</v>
      </c>
      <c r="M75" s="7" t="n">
        <v>260</v>
      </c>
      <c r="N75" s="11" t="n">
        <f aca="false">L75*M75</f>
        <v>3120</v>
      </c>
      <c r="O75" s="9" t="s">
        <v>51</v>
      </c>
      <c r="P75" s="7" t="n">
        <v>5040</v>
      </c>
      <c r="Q75" s="11" t="n">
        <f aca="false">SUMIF($A$4:$A$114,A75,$N$4:$N$114)</f>
        <v>5040</v>
      </c>
      <c r="R75" s="11" t="n">
        <f aca="false">P75-Q75</f>
        <v>0</v>
      </c>
      <c r="S75" s="7" t="str">
        <f aca="false">IF(ABS(R75)&lt;=0.02*P75,"mos","MOS EMAS")</f>
        <v>mos</v>
      </c>
      <c r="T75" s="10" t="n">
        <f aca="false">P75/1000</f>
        <v>5.04</v>
      </c>
      <c r="U75" s="9"/>
    </row>
    <row r="76" customFormat="false" ht="15" hidden="false" customHeight="false" outlineLevel="0" collapsed="false">
      <c r="A76" s="7" t="n">
        <v>47</v>
      </c>
      <c r="B76" s="8" t="s">
        <v>132</v>
      </c>
      <c r="C76" s="9" t="s">
        <v>118</v>
      </c>
      <c r="D76" s="9" t="s">
        <v>119</v>
      </c>
      <c r="E76" s="9" t="s">
        <v>84</v>
      </c>
      <c r="F76" s="9" t="s">
        <v>131</v>
      </c>
      <c r="G76" s="7" t="n">
        <v>190</v>
      </c>
      <c r="H76" s="7" t="n">
        <v>190</v>
      </c>
      <c r="I76" s="7" t="n">
        <v>45</v>
      </c>
      <c r="J76" s="7" t="n">
        <v>12</v>
      </c>
      <c r="K76" s="7" t="n">
        <v>1</v>
      </c>
      <c r="L76" s="10" t="n">
        <v>12</v>
      </c>
      <c r="M76" s="7" t="n">
        <v>160</v>
      </c>
      <c r="N76" s="11" t="n">
        <f aca="false">L76*M76</f>
        <v>1920</v>
      </c>
      <c r="O76" s="9" t="s">
        <v>51</v>
      </c>
      <c r="P76" s="9"/>
      <c r="Q76" s="19"/>
      <c r="R76" s="19"/>
      <c r="S76" s="9"/>
      <c r="T76" s="20"/>
      <c r="U76" s="9"/>
    </row>
    <row r="77" customFormat="false" ht="15" hidden="false" customHeight="false" outlineLevel="0" collapsed="false">
      <c r="A77" s="12" t="n">
        <v>48</v>
      </c>
      <c r="B77" s="13" t="s">
        <v>133</v>
      </c>
      <c r="C77" s="14" t="s">
        <v>118</v>
      </c>
      <c r="D77" s="14" t="s">
        <v>119</v>
      </c>
      <c r="E77" s="14" t="s">
        <v>49</v>
      </c>
      <c r="F77" s="14" t="s">
        <v>134</v>
      </c>
      <c r="G77" s="12" t="n">
        <v>200</v>
      </c>
      <c r="H77" s="12" t="n">
        <v>200</v>
      </c>
      <c r="I77" s="12" t="n">
        <v>30</v>
      </c>
      <c r="J77" s="12" t="n">
        <v>25</v>
      </c>
      <c r="K77" s="12" t="n">
        <v>1</v>
      </c>
      <c r="L77" s="15" t="n">
        <v>25</v>
      </c>
      <c r="M77" s="12" t="n">
        <v>140</v>
      </c>
      <c r="N77" s="16" t="n">
        <f aca="false">L77*M77</f>
        <v>3500</v>
      </c>
      <c r="O77" s="14" t="s">
        <v>51</v>
      </c>
      <c r="P77" s="12" t="n">
        <v>5250</v>
      </c>
      <c r="Q77" s="16" t="n">
        <f aca="false">SUMIF($A$4:$A$114,A77,$N$4:$N$114)</f>
        <v>5250</v>
      </c>
      <c r="R77" s="16" t="n">
        <f aca="false">P77-Q77</f>
        <v>0</v>
      </c>
      <c r="S77" s="12" t="str">
        <f aca="false">IF(ABS(R77)&lt;=0.02*P77,"mos","MOS EMAS")</f>
        <v>mos</v>
      </c>
      <c r="T77" s="15" t="n">
        <f aca="false">P77/1000</f>
        <v>5.25</v>
      </c>
      <c r="U77" s="14"/>
    </row>
    <row r="78" customFormat="false" ht="15" hidden="false" customHeight="false" outlineLevel="0" collapsed="false">
      <c r="A78" s="12" t="n">
        <v>48</v>
      </c>
      <c r="B78" s="13" t="s">
        <v>133</v>
      </c>
      <c r="C78" s="14" t="s">
        <v>118</v>
      </c>
      <c r="D78" s="14" t="s">
        <v>119</v>
      </c>
      <c r="E78" s="14" t="s">
        <v>84</v>
      </c>
      <c r="F78" s="14" t="s">
        <v>131</v>
      </c>
      <c r="G78" s="12" t="n">
        <v>135</v>
      </c>
      <c r="H78" s="12" t="n">
        <v>135</v>
      </c>
      <c r="I78" s="12" t="n">
        <v>30</v>
      </c>
      <c r="J78" s="12" t="n">
        <v>25</v>
      </c>
      <c r="K78" s="12" t="n">
        <v>1</v>
      </c>
      <c r="L78" s="15" t="n">
        <v>25</v>
      </c>
      <c r="M78" s="12" t="n">
        <v>70</v>
      </c>
      <c r="N78" s="16" t="n">
        <f aca="false">L78*M78</f>
        <v>1750</v>
      </c>
      <c r="O78" s="14" t="s">
        <v>51</v>
      </c>
      <c r="P78" s="14"/>
      <c r="Q78" s="17"/>
      <c r="R78" s="17"/>
      <c r="S78" s="14"/>
      <c r="T78" s="18"/>
      <c r="U78" s="14"/>
    </row>
    <row r="79" customFormat="false" ht="15" hidden="false" customHeight="false" outlineLevel="0" collapsed="false">
      <c r="A79" s="7" t="n">
        <v>49</v>
      </c>
      <c r="B79" s="8" t="s">
        <v>135</v>
      </c>
      <c r="C79" s="9" t="s">
        <v>118</v>
      </c>
      <c r="D79" s="9" t="s">
        <v>119</v>
      </c>
      <c r="E79" s="9" t="s">
        <v>49</v>
      </c>
      <c r="F79" s="9" t="s">
        <v>134</v>
      </c>
      <c r="G79" s="7" t="n">
        <v>200</v>
      </c>
      <c r="H79" s="7" t="n">
        <v>200</v>
      </c>
      <c r="I79" s="7" t="n">
        <v>30</v>
      </c>
      <c r="J79" s="7" t="n">
        <v>25</v>
      </c>
      <c r="K79" s="7" t="n">
        <v>1</v>
      </c>
      <c r="L79" s="10" t="n">
        <v>25</v>
      </c>
      <c r="M79" s="7" t="n">
        <v>140</v>
      </c>
      <c r="N79" s="11" t="n">
        <f aca="false">L79*M79</f>
        <v>3500</v>
      </c>
      <c r="O79" s="9" t="s">
        <v>51</v>
      </c>
      <c r="P79" s="7" t="n">
        <v>5250</v>
      </c>
      <c r="Q79" s="11" t="n">
        <f aca="false">SUMIF($A$4:$A$114,A79,$N$4:$N$114)</f>
        <v>5250</v>
      </c>
      <c r="R79" s="11" t="n">
        <f aca="false">P79-Q79</f>
        <v>0</v>
      </c>
      <c r="S79" s="7" t="str">
        <f aca="false">IF(ABS(R79)&lt;=0.02*P79,"mos","MOS EMAS")</f>
        <v>mos</v>
      </c>
      <c r="T79" s="10" t="n">
        <f aca="false">P79/1000</f>
        <v>5.25</v>
      </c>
      <c r="U79" s="9"/>
    </row>
    <row r="80" customFormat="false" ht="15" hidden="false" customHeight="false" outlineLevel="0" collapsed="false">
      <c r="A80" s="7" t="n">
        <v>49</v>
      </c>
      <c r="B80" s="8" t="s">
        <v>135</v>
      </c>
      <c r="C80" s="9" t="s">
        <v>118</v>
      </c>
      <c r="D80" s="9" t="s">
        <v>119</v>
      </c>
      <c r="E80" s="9" t="s">
        <v>84</v>
      </c>
      <c r="F80" s="9" t="s">
        <v>131</v>
      </c>
      <c r="G80" s="7" t="n">
        <v>135</v>
      </c>
      <c r="H80" s="7" t="n">
        <v>135</v>
      </c>
      <c r="I80" s="7" t="n">
        <v>30</v>
      </c>
      <c r="J80" s="7" t="n">
        <v>25</v>
      </c>
      <c r="K80" s="7" t="n">
        <v>1</v>
      </c>
      <c r="L80" s="10" t="n">
        <v>25</v>
      </c>
      <c r="M80" s="7" t="n">
        <v>70</v>
      </c>
      <c r="N80" s="11" t="n">
        <f aca="false">L80*M80</f>
        <v>1750</v>
      </c>
      <c r="O80" s="9" t="s">
        <v>51</v>
      </c>
      <c r="P80" s="9"/>
      <c r="Q80" s="19"/>
      <c r="R80" s="19"/>
      <c r="S80" s="9"/>
      <c r="T80" s="20"/>
      <c r="U80" s="9"/>
    </row>
    <row r="81" customFormat="false" ht="15" hidden="false" customHeight="false" outlineLevel="0" collapsed="false">
      <c r="A81" s="12" t="n">
        <v>50</v>
      </c>
      <c r="B81" s="13" t="s">
        <v>136</v>
      </c>
      <c r="C81" s="14" t="s">
        <v>118</v>
      </c>
      <c r="D81" s="14" t="s">
        <v>119</v>
      </c>
      <c r="E81" s="14" t="s">
        <v>49</v>
      </c>
      <c r="F81" s="14" t="s">
        <v>137</v>
      </c>
      <c r="G81" s="12" t="n">
        <v>300</v>
      </c>
      <c r="H81" s="12" t="n">
        <v>150</v>
      </c>
      <c r="I81" s="12" t="n">
        <v>40</v>
      </c>
      <c r="J81" s="12" t="n">
        <v>22</v>
      </c>
      <c r="K81" s="12" t="n">
        <v>1</v>
      </c>
      <c r="L81" s="15" t="n">
        <v>22</v>
      </c>
      <c r="M81" s="12" t="n">
        <v>165</v>
      </c>
      <c r="N81" s="16" t="n">
        <f aca="false">L81*M81</f>
        <v>3630</v>
      </c>
      <c r="O81" s="14" t="s">
        <v>51</v>
      </c>
      <c r="P81" s="12" t="n">
        <v>5225</v>
      </c>
      <c r="Q81" s="16" t="n">
        <f aca="false">SUMIF($A$4:$A$114,A81,$N$4:$N$114)</f>
        <v>5225</v>
      </c>
      <c r="R81" s="16" t="n">
        <f aca="false">P81-Q81</f>
        <v>0</v>
      </c>
      <c r="S81" s="12" t="str">
        <f aca="false">IF(ABS(R81)&lt;=0.02*P81,"mos","MOS EMAS")</f>
        <v>mos</v>
      </c>
      <c r="T81" s="15" t="n">
        <f aca="false">P81/1000</f>
        <v>5.225</v>
      </c>
      <c r="U81" s="14"/>
    </row>
    <row r="82" customFormat="false" ht="15" hidden="false" customHeight="false" outlineLevel="0" collapsed="false">
      <c r="A82" s="12" t="n">
        <v>50</v>
      </c>
      <c r="B82" s="13" t="s">
        <v>136</v>
      </c>
      <c r="C82" s="14" t="s">
        <v>118</v>
      </c>
      <c r="D82" s="14" t="s">
        <v>119</v>
      </c>
      <c r="E82" s="14" t="s">
        <v>84</v>
      </c>
      <c r="F82" s="14" t="s">
        <v>131</v>
      </c>
      <c r="G82" s="12" t="n">
        <v>190</v>
      </c>
      <c r="H82" s="12" t="n">
        <v>190</v>
      </c>
      <c r="I82" s="12" t="n">
        <v>40</v>
      </c>
      <c r="J82" s="12" t="n">
        <v>11</v>
      </c>
      <c r="K82" s="12" t="n">
        <v>1</v>
      </c>
      <c r="L82" s="15" t="n">
        <v>11</v>
      </c>
      <c r="M82" s="12" t="n">
        <v>145</v>
      </c>
      <c r="N82" s="16" t="n">
        <f aca="false">L82*M82</f>
        <v>1595</v>
      </c>
      <c r="O82" s="14" t="s">
        <v>51</v>
      </c>
      <c r="P82" s="14"/>
      <c r="Q82" s="17"/>
      <c r="R82" s="17"/>
      <c r="S82" s="14"/>
      <c r="T82" s="18"/>
      <c r="U82" s="14"/>
    </row>
    <row r="83" customFormat="false" ht="15" hidden="false" customHeight="false" outlineLevel="0" collapsed="false">
      <c r="A83" s="7" t="n">
        <v>51</v>
      </c>
      <c r="B83" s="8" t="s">
        <v>138</v>
      </c>
      <c r="C83" s="9" t="s">
        <v>118</v>
      </c>
      <c r="D83" s="9" t="s">
        <v>119</v>
      </c>
      <c r="E83" s="9" t="s">
        <v>49</v>
      </c>
      <c r="F83" s="9" t="s">
        <v>139</v>
      </c>
      <c r="G83" s="7" t="n">
        <v>290</v>
      </c>
      <c r="H83" s="7" t="n">
        <v>290</v>
      </c>
      <c r="I83" s="7" t="n">
        <v>45</v>
      </c>
      <c r="J83" s="7" t="n">
        <v>12</v>
      </c>
      <c r="K83" s="7" t="n">
        <v>1</v>
      </c>
      <c r="L83" s="10" t="n">
        <v>12</v>
      </c>
      <c r="M83" s="7" t="n">
        <v>310</v>
      </c>
      <c r="N83" s="11" t="n">
        <f aca="false">L83*M83</f>
        <v>3720</v>
      </c>
      <c r="O83" s="9" t="s">
        <v>51</v>
      </c>
      <c r="P83" s="7" t="n">
        <v>4485</v>
      </c>
      <c r="Q83" s="11" t="n">
        <f aca="false">SUMIF($A$4:$A$114,A83,$N$4:$N$114)</f>
        <v>4485</v>
      </c>
      <c r="R83" s="11" t="n">
        <f aca="false">P83-Q83</f>
        <v>0</v>
      </c>
      <c r="S83" s="7" t="str">
        <f aca="false">IF(ABS(R83)&lt;=0.02*P83,"mos","MOS EMAS")</f>
        <v>mos</v>
      </c>
      <c r="T83" s="10" t="n">
        <f aca="false">P83/1000</f>
        <v>4.485</v>
      </c>
      <c r="U83" s="9"/>
    </row>
    <row r="84" customFormat="false" ht="15" hidden="false" customHeight="false" outlineLevel="0" collapsed="false">
      <c r="A84" s="7" t="n">
        <v>51</v>
      </c>
      <c r="B84" s="8" t="s">
        <v>138</v>
      </c>
      <c r="C84" s="9" t="s">
        <v>118</v>
      </c>
      <c r="D84" s="9" t="s">
        <v>119</v>
      </c>
      <c r="E84" s="9" t="s">
        <v>84</v>
      </c>
      <c r="F84" s="9" t="s">
        <v>130</v>
      </c>
      <c r="G84" s="7" t="n">
        <v>290</v>
      </c>
      <c r="H84" s="7" t="n">
        <v>290</v>
      </c>
      <c r="I84" s="7" t="n">
        <v>45</v>
      </c>
      <c r="J84" s="7" t="n">
        <v>3</v>
      </c>
      <c r="K84" s="7" t="n">
        <v>1</v>
      </c>
      <c r="L84" s="10" t="n">
        <v>3</v>
      </c>
      <c r="M84" s="7" t="n">
        <v>255</v>
      </c>
      <c r="N84" s="11" t="n">
        <f aca="false">L84*M84</f>
        <v>765</v>
      </c>
      <c r="O84" s="9" t="s">
        <v>51</v>
      </c>
      <c r="P84" s="9"/>
      <c r="Q84" s="19"/>
      <c r="R84" s="19"/>
      <c r="S84" s="9"/>
      <c r="T84" s="20"/>
      <c r="U84" s="9"/>
    </row>
    <row r="85" customFormat="false" ht="15" hidden="false" customHeight="false" outlineLevel="0" collapsed="false">
      <c r="A85" s="12" t="n">
        <v>52</v>
      </c>
      <c r="B85" s="13" t="s">
        <v>140</v>
      </c>
      <c r="C85" s="14" t="s">
        <v>118</v>
      </c>
      <c r="D85" s="14" t="s">
        <v>141</v>
      </c>
      <c r="E85" s="14" t="s">
        <v>49</v>
      </c>
      <c r="F85" s="14" t="s">
        <v>130</v>
      </c>
      <c r="G85" s="12" t="n">
        <v>290</v>
      </c>
      <c r="H85" s="12" t="n">
        <v>290</v>
      </c>
      <c r="I85" s="12" t="n">
        <v>45</v>
      </c>
      <c r="J85" s="12" t="n">
        <v>3</v>
      </c>
      <c r="K85" s="12" t="n">
        <v>1</v>
      </c>
      <c r="L85" s="15" t="n">
        <v>3</v>
      </c>
      <c r="M85" s="12" t="n">
        <v>255</v>
      </c>
      <c r="N85" s="16" t="n">
        <f aca="false">L85*M85</f>
        <v>765</v>
      </c>
      <c r="O85" s="14" t="s">
        <v>51</v>
      </c>
      <c r="P85" s="12" t="n">
        <v>4710</v>
      </c>
      <c r="Q85" s="16" t="n">
        <f aca="false">SUMIF($A$4:$A$114,A85,$N$4:$N$114)</f>
        <v>4710</v>
      </c>
      <c r="R85" s="16" t="n">
        <f aca="false">P85-Q85</f>
        <v>0</v>
      </c>
      <c r="S85" s="12" t="str">
        <f aca="false">IF(ABS(R85)&lt;=0.02*P85,"mos","MOS EMAS")</f>
        <v>mos</v>
      </c>
      <c r="T85" s="15" t="n">
        <f aca="false">P85/1000</f>
        <v>4.71</v>
      </c>
      <c r="U85" s="14" t="s">
        <v>142</v>
      </c>
    </row>
    <row r="86" customFormat="false" ht="15" hidden="false" customHeight="false" outlineLevel="0" collapsed="false">
      <c r="A86" s="12" t="n">
        <v>52</v>
      </c>
      <c r="B86" s="13" t="s">
        <v>140</v>
      </c>
      <c r="C86" s="14" t="s">
        <v>118</v>
      </c>
      <c r="D86" s="14" t="s">
        <v>141</v>
      </c>
      <c r="E86" s="14" t="s">
        <v>84</v>
      </c>
      <c r="F86" s="14" t="s">
        <v>143</v>
      </c>
      <c r="G86" s="12" t="n">
        <v>190</v>
      </c>
      <c r="H86" s="12" t="n">
        <v>190</v>
      </c>
      <c r="I86" s="12" t="n">
        <v>45</v>
      </c>
      <c r="J86" s="12" t="n">
        <v>3</v>
      </c>
      <c r="K86" s="12" t="n">
        <v>1</v>
      </c>
      <c r="L86" s="15" t="n">
        <v>3</v>
      </c>
      <c r="M86" s="12" t="n">
        <v>155</v>
      </c>
      <c r="N86" s="16" t="n">
        <f aca="false">L86*M86</f>
        <v>465</v>
      </c>
      <c r="O86" s="14" t="s">
        <v>51</v>
      </c>
      <c r="P86" s="14"/>
      <c r="Q86" s="17"/>
      <c r="R86" s="17"/>
      <c r="S86" s="14"/>
      <c r="T86" s="18"/>
      <c r="U86" s="14"/>
    </row>
    <row r="87" customFormat="false" ht="15" hidden="false" customHeight="false" outlineLevel="0" collapsed="false">
      <c r="A87" s="12" t="n">
        <v>52</v>
      </c>
      <c r="B87" s="13" t="s">
        <v>140</v>
      </c>
      <c r="C87" s="14" t="s">
        <v>118</v>
      </c>
      <c r="D87" s="14" t="s">
        <v>141</v>
      </c>
      <c r="E87" s="14" t="s">
        <v>104</v>
      </c>
      <c r="F87" s="14" t="s">
        <v>139</v>
      </c>
      <c r="G87" s="12" t="n">
        <v>290</v>
      </c>
      <c r="H87" s="12" t="n">
        <v>290</v>
      </c>
      <c r="I87" s="12" t="n">
        <v>45</v>
      </c>
      <c r="J87" s="12" t="n">
        <v>12</v>
      </c>
      <c r="K87" s="12" t="n">
        <v>1</v>
      </c>
      <c r="L87" s="15" t="n">
        <v>12</v>
      </c>
      <c r="M87" s="12" t="n">
        <v>290</v>
      </c>
      <c r="N87" s="16" t="n">
        <f aca="false">L87*M87</f>
        <v>3480</v>
      </c>
      <c r="O87" s="14" t="s">
        <v>51</v>
      </c>
      <c r="P87" s="14"/>
      <c r="Q87" s="17"/>
      <c r="R87" s="17"/>
      <c r="S87" s="14"/>
      <c r="T87" s="18"/>
      <c r="U87" s="14"/>
    </row>
    <row r="88" customFormat="false" ht="15" hidden="false" customHeight="false" outlineLevel="0" collapsed="false">
      <c r="A88" s="7" t="n">
        <v>53</v>
      </c>
      <c r="B88" s="8" t="s">
        <v>144</v>
      </c>
      <c r="C88" s="9" t="s">
        <v>118</v>
      </c>
      <c r="D88" s="9" t="s">
        <v>119</v>
      </c>
      <c r="E88" s="9" t="s">
        <v>49</v>
      </c>
      <c r="F88" s="9" t="s">
        <v>145</v>
      </c>
      <c r="G88" s="7" t="n">
        <v>420</v>
      </c>
      <c r="H88" s="7" t="n">
        <v>300</v>
      </c>
      <c r="I88" s="7" t="n">
        <v>42</v>
      </c>
      <c r="J88" s="7" t="n">
        <v>11</v>
      </c>
      <c r="K88" s="7" t="n">
        <v>1</v>
      </c>
      <c r="L88" s="10" t="n">
        <v>11</v>
      </c>
      <c r="M88" s="7" t="n">
        <v>360</v>
      </c>
      <c r="N88" s="11" t="n">
        <f aca="false">L88*M88</f>
        <v>3960</v>
      </c>
      <c r="O88" s="9" t="s">
        <v>51</v>
      </c>
      <c r="P88" s="7" t="n">
        <v>4840</v>
      </c>
      <c r="Q88" s="11" t="n">
        <f aca="false">SUMIF($A$4:$A$114,A88,$N$4:$N$114)</f>
        <v>4840</v>
      </c>
      <c r="R88" s="11" t="n">
        <f aca="false">P88-Q88</f>
        <v>0</v>
      </c>
      <c r="S88" s="7" t="str">
        <f aca="false">IF(ABS(R88)&lt;=0.02*P88,"mos","MOS EMAS")</f>
        <v>mos</v>
      </c>
      <c r="T88" s="10" t="n">
        <f aca="false">P88/1000</f>
        <v>4.84</v>
      </c>
      <c r="U88" s="9"/>
    </row>
    <row r="89" customFormat="false" ht="15" hidden="false" customHeight="false" outlineLevel="0" collapsed="false">
      <c r="A89" s="7" t="n">
        <v>53</v>
      </c>
      <c r="B89" s="8" t="s">
        <v>144</v>
      </c>
      <c r="C89" s="9" t="s">
        <v>118</v>
      </c>
      <c r="D89" s="9" t="s">
        <v>119</v>
      </c>
      <c r="E89" s="9" t="s">
        <v>84</v>
      </c>
      <c r="F89" s="9" t="s">
        <v>146</v>
      </c>
      <c r="G89" s="7" t="n">
        <v>170</v>
      </c>
      <c r="H89" s="7" t="n">
        <v>170</v>
      </c>
      <c r="I89" s="7" t="n">
        <v>42</v>
      </c>
      <c r="J89" s="7" t="n">
        <v>5.5</v>
      </c>
      <c r="K89" s="7" t="n">
        <v>1</v>
      </c>
      <c r="L89" s="10" t="n">
        <v>5.5</v>
      </c>
      <c r="M89" s="7" t="n">
        <v>160</v>
      </c>
      <c r="N89" s="11" t="n">
        <f aca="false">L89*M89</f>
        <v>880</v>
      </c>
      <c r="O89" s="9" t="s">
        <v>51</v>
      </c>
      <c r="P89" s="9"/>
      <c r="Q89" s="19"/>
      <c r="R89" s="19"/>
      <c r="S89" s="9"/>
      <c r="T89" s="20"/>
      <c r="U89" s="9"/>
    </row>
    <row r="90" customFormat="false" ht="15" hidden="false" customHeight="false" outlineLevel="0" collapsed="false">
      <c r="A90" s="12" t="n">
        <v>54</v>
      </c>
      <c r="B90" s="13" t="s">
        <v>147</v>
      </c>
      <c r="C90" s="14" t="s">
        <v>118</v>
      </c>
      <c r="D90" s="14" t="s">
        <v>119</v>
      </c>
      <c r="E90" s="14" t="s">
        <v>49</v>
      </c>
      <c r="F90" s="14" t="s">
        <v>148</v>
      </c>
      <c r="G90" s="12" t="n">
        <v>135</v>
      </c>
      <c r="H90" s="12" t="n">
        <v>280</v>
      </c>
      <c r="I90" s="12" t="n">
        <v>30</v>
      </c>
      <c r="J90" s="12" t="n">
        <v>12.5</v>
      </c>
      <c r="K90" s="12" t="n">
        <v>1</v>
      </c>
      <c r="L90" s="15" t="n">
        <v>12.5</v>
      </c>
      <c r="M90" s="12" t="n">
        <v>120</v>
      </c>
      <c r="N90" s="16" t="n">
        <f aca="false">L90*M90</f>
        <v>1500</v>
      </c>
      <c r="O90" s="14" t="s">
        <v>51</v>
      </c>
      <c r="P90" s="12" t="n">
        <v>4625</v>
      </c>
      <c r="Q90" s="16" t="n">
        <f aca="false">SUMIF($A$4:$A$114,A90,$N$4:$N$114)</f>
        <v>4625</v>
      </c>
      <c r="R90" s="16" t="n">
        <f aca="false">P90-Q90</f>
        <v>0</v>
      </c>
      <c r="S90" s="12" t="str">
        <f aca="false">IF(ABS(R90)&lt;=0.02*P90,"mos","MOS EMAS")</f>
        <v>mos</v>
      </c>
      <c r="T90" s="15" t="n">
        <f aca="false">P90/1000</f>
        <v>4.625</v>
      </c>
      <c r="U90" s="14"/>
    </row>
    <row r="91" customFormat="false" ht="15" hidden="false" customHeight="false" outlineLevel="0" collapsed="false">
      <c r="A91" s="12" t="n">
        <v>54</v>
      </c>
      <c r="B91" s="13" t="s">
        <v>147</v>
      </c>
      <c r="C91" s="14" t="s">
        <v>118</v>
      </c>
      <c r="D91" s="14" t="s">
        <v>119</v>
      </c>
      <c r="E91" s="14" t="s">
        <v>84</v>
      </c>
      <c r="F91" s="14" t="s">
        <v>149</v>
      </c>
      <c r="G91" s="12" t="n">
        <v>100</v>
      </c>
      <c r="H91" s="12" t="n">
        <v>295</v>
      </c>
      <c r="I91" s="12" t="n">
        <v>30</v>
      </c>
      <c r="J91" s="12" t="n">
        <v>25</v>
      </c>
      <c r="K91" s="12" t="n">
        <v>2</v>
      </c>
      <c r="L91" s="15" t="n">
        <f aca="false">J91/K91</f>
        <v>12.5</v>
      </c>
      <c r="M91" s="12" t="n">
        <v>250</v>
      </c>
      <c r="N91" s="16" t="n">
        <f aca="false">L91*M91</f>
        <v>3125</v>
      </c>
      <c r="O91" s="14" t="s">
        <v>51</v>
      </c>
      <c r="P91" s="14"/>
      <c r="Q91" s="17"/>
      <c r="R91" s="17"/>
      <c r="S91" s="14"/>
      <c r="T91" s="18"/>
      <c r="U91" s="14"/>
    </row>
    <row r="92" customFormat="false" ht="15" hidden="false" customHeight="false" outlineLevel="0" collapsed="false">
      <c r="A92" s="7" t="n">
        <v>55</v>
      </c>
      <c r="B92" s="8" t="s">
        <v>150</v>
      </c>
      <c r="C92" s="9" t="s">
        <v>118</v>
      </c>
      <c r="D92" s="9" t="s">
        <v>141</v>
      </c>
      <c r="E92" s="9" t="s">
        <v>49</v>
      </c>
      <c r="F92" s="9" t="s">
        <v>151</v>
      </c>
      <c r="G92" s="7" t="n">
        <v>295</v>
      </c>
      <c r="H92" s="7" t="n">
        <v>295</v>
      </c>
      <c r="I92" s="7" t="n">
        <v>30</v>
      </c>
      <c r="J92" s="7" t="n">
        <v>6</v>
      </c>
      <c r="K92" s="7" t="n">
        <v>1</v>
      </c>
      <c r="L92" s="10" t="n">
        <v>6</v>
      </c>
      <c r="M92" s="7" t="n">
        <v>215</v>
      </c>
      <c r="N92" s="11" t="n">
        <f aca="false">L92*M92</f>
        <v>1290</v>
      </c>
      <c r="O92" s="9" t="s">
        <v>51</v>
      </c>
      <c r="P92" s="7" t="n">
        <v>5300</v>
      </c>
      <c r="Q92" s="11" t="n">
        <f aca="false">SUMIF($A$4:$A$114,A92,$N$4:$N$114)</f>
        <v>5960</v>
      </c>
      <c r="R92" s="11" t="n">
        <f aca="false">P92-Q92</f>
        <v>-660</v>
      </c>
      <c r="S92" s="7" t="str">
        <f aca="false">IF(ABS(R92)&lt;=0.02*P92,"mos","MOS EMAS")</f>
        <v>MOS EMAS</v>
      </c>
      <c r="T92" s="10" t="n">
        <f aca="false">P92/1000</f>
        <v>5.3</v>
      </c>
      <c r="U92" s="9" t="s">
        <v>152</v>
      </c>
    </row>
    <row r="93" customFormat="false" ht="15" hidden="false" customHeight="false" outlineLevel="0" collapsed="false">
      <c r="A93" s="7" t="n">
        <v>55</v>
      </c>
      <c r="B93" s="8" t="s">
        <v>150</v>
      </c>
      <c r="C93" s="9" t="s">
        <v>118</v>
      </c>
      <c r="D93" s="9" t="s">
        <v>141</v>
      </c>
      <c r="E93" s="9" t="s">
        <v>84</v>
      </c>
      <c r="F93" s="9" t="s">
        <v>149</v>
      </c>
      <c r="G93" s="7" t="n">
        <v>100</v>
      </c>
      <c r="H93" s="7" t="n">
        <v>295</v>
      </c>
      <c r="I93" s="7" t="n">
        <v>30</v>
      </c>
      <c r="J93" s="7" t="n">
        <v>22</v>
      </c>
      <c r="K93" s="7" t="n">
        <v>2</v>
      </c>
      <c r="L93" s="10" t="n">
        <f aca="false">J93/K93</f>
        <v>11</v>
      </c>
      <c r="M93" s="7" t="n">
        <v>250</v>
      </c>
      <c r="N93" s="11" t="n">
        <f aca="false">L93*M93</f>
        <v>2750</v>
      </c>
      <c r="O93" s="9" t="s">
        <v>51</v>
      </c>
      <c r="P93" s="9"/>
      <c r="Q93" s="19"/>
      <c r="R93" s="19"/>
      <c r="S93" s="9"/>
      <c r="T93" s="20"/>
      <c r="U93" s="9"/>
    </row>
    <row r="94" customFormat="false" ht="15" hidden="false" customHeight="false" outlineLevel="0" collapsed="false">
      <c r="A94" s="7" t="n">
        <v>55</v>
      </c>
      <c r="B94" s="8" t="s">
        <v>150</v>
      </c>
      <c r="C94" s="9" t="s">
        <v>118</v>
      </c>
      <c r="D94" s="9" t="s">
        <v>141</v>
      </c>
      <c r="E94" s="9" t="s">
        <v>104</v>
      </c>
      <c r="F94" s="9" t="s">
        <v>153</v>
      </c>
      <c r="G94" s="7" t="n">
        <v>100</v>
      </c>
      <c r="H94" s="7" t="n">
        <v>100</v>
      </c>
      <c r="I94" s="7" t="n">
        <v>25</v>
      </c>
      <c r="J94" s="7" t="n">
        <v>6</v>
      </c>
      <c r="K94" s="7" t="n">
        <v>1</v>
      </c>
      <c r="L94" s="10" t="n">
        <v>6</v>
      </c>
      <c r="M94" s="7" t="n">
        <v>320</v>
      </c>
      <c r="N94" s="11" t="n">
        <f aca="false">L94*M94</f>
        <v>1920</v>
      </c>
      <c r="O94" s="9" t="s">
        <v>51</v>
      </c>
      <c r="P94" s="9"/>
      <c r="Q94" s="19"/>
      <c r="R94" s="19"/>
      <c r="S94" s="9"/>
      <c r="T94" s="20"/>
      <c r="U94" s="9"/>
    </row>
    <row r="95" customFormat="false" ht="22.35" hidden="false" customHeight="false" outlineLevel="0" collapsed="false">
      <c r="A95" s="12" t="n">
        <v>56</v>
      </c>
      <c r="B95" s="13" t="s">
        <v>154</v>
      </c>
      <c r="C95" s="14" t="s">
        <v>118</v>
      </c>
      <c r="D95" s="14" t="s">
        <v>119</v>
      </c>
      <c r="E95" s="14" t="s">
        <v>49</v>
      </c>
      <c r="F95" s="14" t="s">
        <v>155</v>
      </c>
      <c r="G95" s="12" t="n">
        <v>150</v>
      </c>
      <c r="H95" s="12" t="n">
        <v>150</v>
      </c>
      <c r="I95" s="12" t="n">
        <v>25</v>
      </c>
      <c r="J95" s="12" t="n">
        <v>15</v>
      </c>
      <c r="K95" s="12" t="n">
        <v>1</v>
      </c>
      <c r="L95" s="15" t="n">
        <v>15</v>
      </c>
      <c r="M95" s="12" t="n">
        <v>185</v>
      </c>
      <c r="N95" s="16" t="n">
        <f aca="false">L95*M95</f>
        <v>2775</v>
      </c>
      <c r="O95" s="14" t="s">
        <v>51</v>
      </c>
      <c r="P95" s="12" t="n">
        <v>5550</v>
      </c>
      <c r="Q95" s="16" t="n">
        <f aca="false">SUMIF($A$4:$A$114,A95,$N$4:$N$114)</f>
        <v>5550</v>
      </c>
      <c r="R95" s="16" t="n">
        <f aca="false">P95-Q95</f>
        <v>0</v>
      </c>
      <c r="S95" s="12" t="str">
        <f aca="false">IF(ABS(R95)&lt;=0.02*P95,"mos","MOS EMAS")</f>
        <v>mos</v>
      </c>
      <c r="T95" s="15" t="n">
        <f aca="false">P95/1000</f>
        <v>5.55</v>
      </c>
      <c r="U95" s="14" t="s">
        <v>156</v>
      </c>
    </row>
    <row r="96" customFormat="false" ht="15" hidden="false" customHeight="false" outlineLevel="0" collapsed="false">
      <c r="A96" s="12" t="n">
        <v>56</v>
      </c>
      <c r="B96" s="13" t="s">
        <v>154</v>
      </c>
      <c r="C96" s="14" t="s">
        <v>118</v>
      </c>
      <c r="D96" s="14" t="s">
        <v>119</v>
      </c>
      <c r="E96" s="14" t="s">
        <v>84</v>
      </c>
      <c r="F96" s="14" t="s">
        <v>157</v>
      </c>
      <c r="G96" s="12" t="n">
        <v>53</v>
      </c>
      <c r="H96" s="12" t="n">
        <v>53</v>
      </c>
      <c r="I96" s="12" t="n">
        <v>25</v>
      </c>
      <c r="J96" s="12" t="n">
        <v>15</v>
      </c>
      <c r="K96" s="12" t="n">
        <v>1</v>
      </c>
      <c r="L96" s="15" t="n">
        <v>15</v>
      </c>
      <c r="M96" s="12" t="n">
        <v>185</v>
      </c>
      <c r="N96" s="16" t="n">
        <f aca="false">L96*M96</f>
        <v>2775</v>
      </c>
      <c r="O96" s="14" t="s">
        <v>51</v>
      </c>
      <c r="P96" s="14"/>
      <c r="Q96" s="17"/>
      <c r="R96" s="17"/>
      <c r="S96" s="14"/>
      <c r="T96" s="18"/>
      <c r="U96" s="14"/>
    </row>
    <row r="97" customFormat="false" ht="15" hidden="false" customHeight="false" outlineLevel="0" collapsed="false">
      <c r="A97" s="7" t="n">
        <v>57</v>
      </c>
      <c r="B97" s="8" t="s">
        <v>158</v>
      </c>
      <c r="C97" s="9" t="s">
        <v>118</v>
      </c>
      <c r="D97" s="9" t="s">
        <v>119</v>
      </c>
      <c r="E97" s="9" t="s">
        <v>49</v>
      </c>
      <c r="F97" s="9" t="s">
        <v>159</v>
      </c>
      <c r="G97" s="7" t="n">
        <v>240</v>
      </c>
      <c r="H97" s="7" t="n">
        <v>260</v>
      </c>
      <c r="I97" s="7" t="n">
        <v>38</v>
      </c>
      <c r="J97" s="7" t="n">
        <v>18</v>
      </c>
      <c r="K97" s="7" t="n">
        <v>1</v>
      </c>
      <c r="L97" s="10" t="n">
        <v>18</v>
      </c>
      <c r="M97" s="7" t="n">
        <v>180</v>
      </c>
      <c r="N97" s="11" t="n">
        <f aca="false">L97*M97</f>
        <v>3240</v>
      </c>
      <c r="O97" s="9" t="s">
        <v>51</v>
      </c>
      <c r="P97" s="7" t="n">
        <v>5490</v>
      </c>
      <c r="Q97" s="11" t="n">
        <f aca="false">SUMIF($A$4:$A$114,A97,$N$4:$N$114)</f>
        <v>5490</v>
      </c>
      <c r="R97" s="11" t="n">
        <f aca="false">P97-Q97</f>
        <v>0</v>
      </c>
      <c r="S97" s="7" t="str">
        <f aca="false">IF(ABS(R97)&lt;=0.02*P97,"mos","MOS EMAS")</f>
        <v>mos</v>
      </c>
      <c r="T97" s="10" t="n">
        <f aca="false">P97/1000</f>
        <v>5.49</v>
      </c>
      <c r="U97" s="9"/>
    </row>
    <row r="98" customFormat="false" ht="15" hidden="false" customHeight="false" outlineLevel="0" collapsed="false">
      <c r="A98" s="7" t="n">
        <v>57</v>
      </c>
      <c r="B98" s="8" t="s">
        <v>158</v>
      </c>
      <c r="C98" s="9" t="s">
        <v>118</v>
      </c>
      <c r="D98" s="9" t="s">
        <v>119</v>
      </c>
      <c r="E98" s="9" t="s">
        <v>84</v>
      </c>
      <c r="F98" s="9" t="s">
        <v>160</v>
      </c>
      <c r="G98" s="7" t="n">
        <v>290</v>
      </c>
      <c r="H98" s="7" t="n">
        <v>300</v>
      </c>
      <c r="I98" s="7" t="n">
        <v>38</v>
      </c>
      <c r="J98" s="7" t="n">
        <v>9</v>
      </c>
      <c r="K98" s="7" t="n">
        <v>1</v>
      </c>
      <c r="L98" s="10" t="n">
        <v>9</v>
      </c>
      <c r="M98" s="7" t="n">
        <v>250</v>
      </c>
      <c r="N98" s="11" t="n">
        <f aca="false">L98*M98</f>
        <v>2250</v>
      </c>
      <c r="O98" s="9" t="s">
        <v>51</v>
      </c>
      <c r="P98" s="9"/>
      <c r="Q98" s="19"/>
      <c r="R98" s="19"/>
      <c r="S98" s="9"/>
      <c r="T98" s="20"/>
      <c r="U98" s="9"/>
    </row>
    <row r="99" customFormat="false" ht="15" hidden="false" customHeight="false" outlineLevel="0" collapsed="false">
      <c r="A99" s="12" t="n">
        <v>58</v>
      </c>
      <c r="B99" s="13" t="s">
        <v>161</v>
      </c>
      <c r="C99" s="14" t="s">
        <v>118</v>
      </c>
      <c r="D99" s="14" t="s">
        <v>141</v>
      </c>
      <c r="E99" s="14" t="s">
        <v>49</v>
      </c>
      <c r="F99" s="14" t="s">
        <v>159</v>
      </c>
      <c r="G99" s="12" t="n">
        <v>160</v>
      </c>
      <c r="H99" s="12" t="n">
        <v>300</v>
      </c>
      <c r="I99" s="12" t="n">
        <v>30</v>
      </c>
      <c r="J99" s="12" t="n">
        <v>15</v>
      </c>
      <c r="K99" s="12" t="n">
        <v>1</v>
      </c>
      <c r="L99" s="15" t="n">
        <v>15</v>
      </c>
      <c r="M99" s="12" t="n">
        <v>215</v>
      </c>
      <c r="N99" s="16" t="n">
        <f aca="false">L99*M99</f>
        <v>3225</v>
      </c>
      <c r="O99" s="14" t="s">
        <v>51</v>
      </c>
      <c r="P99" s="12" t="n">
        <v>5300</v>
      </c>
      <c r="Q99" s="16" t="n">
        <f aca="false">SUMIF($A$4:$A$114,A99,$N$4:$N$114)</f>
        <v>5475</v>
      </c>
      <c r="R99" s="16" t="n">
        <f aca="false">P99-Q99</f>
        <v>-175</v>
      </c>
      <c r="S99" s="12" t="str">
        <f aca="false">IF(ABS(R99)&lt;=0.02*P99,"mos","MOS EMAS")</f>
        <v>MOS EMAS</v>
      </c>
      <c r="T99" s="15" t="n">
        <f aca="false">P99/1000</f>
        <v>5.3</v>
      </c>
      <c r="U99" s="14" t="s">
        <v>162</v>
      </c>
    </row>
    <row r="100" customFormat="false" ht="15" hidden="false" customHeight="false" outlineLevel="0" collapsed="false">
      <c r="A100" s="12" t="n">
        <v>58</v>
      </c>
      <c r="B100" s="13" t="s">
        <v>161</v>
      </c>
      <c r="C100" s="14" t="s">
        <v>118</v>
      </c>
      <c r="D100" s="14" t="s">
        <v>141</v>
      </c>
      <c r="E100" s="14" t="s">
        <v>84</v>
      </c>
      <c r="F100" s="14" t="s">
        <v>160</v>
      </c>
      <c r="G100" s="12" t="n">
        <v>190</v>
      </c>
      <c r="H100" s="12" t="n">
        <v>260</v>
      </c>
      <c r="I100" s="12" t="n">
        <v>30</v>
      </c>
      <c r="J100" s="12" t="n">
        <v>15</v>
      </c>
      <c r="K100" s="12" t="n">
        <v>1</v>
      </c>
      <c r="L100" s="15" t="n">
        <v>15</v>
      </c>
      <c r="M100" s="12" t="n">
        <v>150</v>
      </c>
      <c r="N100" s="16" t="n">
        <f aca="false">L100*M100</f>
        <v>2250</v>
      </c>
      <c r="O100" s="14" t="s">
        <v>51</v>
      </c>
      <c r="P100" s="14"/>
      <c r="Q100" s="17"/>
      <c r="R100" s="17"/>
      <c r="S100" s="14"/>
      <c r="T100" s="18"/>
      <c r="U100" s="14"/>
    </row>
    <row r="101" customFormat="false" ht="15" hidden="false" customHeight="false" outlineLevel="0" collapsed="false">
      <c r="A101" s="12" t="n">
        <v>58</v>
      </c>
      <c r="B101" s="13" t="s">
        <v>161</v>
      </c>
      <c r="C101" s="14" t="s">
        <v>118</v>
      </c>
      <c r="D101" s="14" t="s">
        <v>141</v>
      </c>
      <c r="E101" s="14" t="s">
        <v>104</v>
      </c>
      <c r="F101" s="14" t="s">
        <v>153</v>
      </c>
      <c r="G101" s="12" t="n">
        <v>100</v>
      </c>
      <c r="H101" s="12" t="n">
        <v>100</v>
      </c>
      <c r="I101" s="12" t="n">
        <v>25</v>
      </c>
      <c r="J101" s="12" t="n">
        <v>4</v>
      </c>
      <c r="K101" s="12" t="n">
        <v>1</v>
      </c>
      <c r="L101" s="15" t="n">
        <v>4</v>
      </c>
      <c r="M101" s="14"/>
      <c r="N101" s="17"/>
      <c r="O101" s="14" t="s">
        <v>51</v>
      </c>
      <c r="P101" s="14"/>
      <c r="Q101" s="17"/>
      <c r="R101" s="17"/>
      <c r="S101" s="14"/>
      <c r="T101" s="18"/>
      <c r="U101" s="14"/>
    </row>
    <row r="102" customFormat="false" ht="15" hidden="false" customHeight="false" outlineLevel="0" collapsed="false">
      <c r="A102" s="7" t="n">
        <v>59</v>
      </c>
      <c r="B102" s="8" t="s">
        <v>163</v>
      </c>
      <c r="C102" s="9" t="s">
        <v>118</v>
      </c>
      <c r="D102" s="9" t="s">
        <v>119</v>
      </c>
      <c r="E102" s="9" t="s">
        <v>49</v>
      </c>
      <c r="F102" s="9" t="s">
        <v>50</v>
      </c>
      <c r="G102" s="7" t="n">
        <v>300</v>
      </c>
      <c r="H102" s="7" t="n">
        <v>300</v>
      </c>
      <c r="I102" s="7" t="n">
        <v>30</v>
      </c>
      <c r="J102" s="7" t="n">
        <v>8.2</v>
      </c>
      <c r="K102" s="7" t="n">
        <v>1</v>
      </c>
      <c r="L102" s="10" t="n">
        <v>8.2</v>
      </c>
      <c r="M102" s="7" t="n">
        <v>375</v>
      </c>
      <c r="N102" s="11" t="n">
        <f aca="false">L102*M102</f>
        <v>3075</v>
      </c>
      <c r="O102" s="9" t="s">
        <v>51</v>
      </c>
      <c r="P102" s="7" t="n">
        <v>4925</v>
      </c>
      <c r="Q102" s="11" t="n">
        <f aca="false">SUMIF($A$4:$A$114,A102,$N$4:$N$114)</f>
        <v>6068</v>
      </c>
      <c r="R102" s="11" t="n">
        <f aca="false">P102-Q102</f>
        <v>-1143</v>
      </c>
      <c r="S102" s="7" t="str">
        <f aca="false">IF(ABS(R102)&lt;=0.02*P102,"mos","MOS EMAS")</f>
        <v>MOS EMAS</v>
      </c>
      <c r="T102" s="10" t="n">
        <f aca="false">P102/1000</f>
        <v>4.925</v>
      </c>
      <c r="U102" s="9" t="s">
        <v>164</v>
      </c>
    </row>
    <row r="103" customFormat="false" ht="15" hidden="false" customHeight="false" outlineLevel="0" collapsed="false">
      <c r="A103" s="7" t="n">
        <v>59</v>
      </c>
      <c r="B103" s="8" t="s">
        <v>163</v>
      </c>
      <c r="C103" s="9" t="s">
        <v>118</v>
      </c>
      <c r="D103" s="9" t="s">
        <v>119</v>
      </c>
      <c r="E103" s="9" t="s">
        <v>84</v>
      </c>
      <c r="F103" s="9" t="s">
        <v>165</v>
      </c>
      <c r="G103" s="7" t="n">
        <v>100</v>
      </c>
      <c r="H103" s="7" t="n">
        <v>395</v>
      </c>
      <c r="I103" s="7" t="n">
        <v>35</v>
      </c>
      <c r="J103" s="7" t="n">
        <v>16.4</v>
      </c>
      <c r="K103" s="7" t="n">
        <v>2</v>
      </c>
      <c r="L103" s="10" t="n">
        <f aca="false">J103/K103</f>
        <v>8.2</v>
      </c>
      <c r="M103" s="7" t="n">
        <v>365</v>
      </c>
      <c r="N103" s="11" t="n">
        <f aca="false">L103*M103</f>
        <v>2993</v>
      </c>
      <c r="O103" s="9" t="s">
        <v>51</v>
      </c>
      <c r="P103" s="9"/>
      <c r="Q103" s="19"/>
      <c r="R103" s="19"/>
      <c r="S103" s="9"/>
      <c r="T103" s="20"/>
      <c r="U103" s="9"/>
    </row>
    <row r="104" customFormat="false" ht="15" hidden="false" customHeight="false" outlineLevel="0" collapsed="false">
      <c r="A104" s="12" t="n">
        <v>60</v>
      </c>
      <c r="B104" s="13" t="s">
        <v>166</v>
      </c>
      <c r="C104" s="14" t="s">
        <v>118</v>
      </c>
      <c r="D104" s="14" t="s">
        <v>119</v>
      </c>
      <c r="E104" s="14" t="s">
        <v>49</v>
      </c>
      <c r="F104" s="14" t="s">
        <v>50</v>
      </c>
      <c r="G104" s="12" t="n">
        <v>175</v>
      </c>
      <c r="H104" s="12" t="n">
        <v>175</v>
      </c>
      <c r="I104" s="12" t="n">
        <v>25</v>
      </c>
      <c r="J104" s="12" t="n">
        <v>8.2</v>
      </c>
      <c r="K104" s="12" t="n">
        <v>1</v>
      </c>
      <c r="L104" s="15" t="n">
        <v>8.2</v>
      </c>
      <c r="M104" s="12" t="n">
        <v>130</v>
      </c>
      <c r="N104" s="16" t="n">
        <f aca="false">L104*M104</f>
        <v>1066</v>
      </c>
      <c r="O104" s="14" t="s">
        <v>51</v>
      </c>
      <c r="P104" s="12" t="n">
        <v>5330</v>
      </c>
      <c r="Q104" s="16" t="n">
        <f aca="false">SUMIF($A$4:$A$114,A104,$N$4:$N$114)</f>
        <v>5330</v>
      </c>
      <c r="R104" s="16" t="n">
        <f aca="false">P104-Q104</f>
        <v>0</v>
      </c>
      <c r="S104" s="12" t="str">
        <f aca="false">IF(ABS(R104)&lt;=0.02*P104,"mos","MOS EMAS")</f>
        <v>mos</v>
      </c>
      <c r="T104" s="15" t="n">
        <f aca="false">P104/1000</f>
        <v>5.33</v>
      </c>
      <c r="U104" s="14"/>
    </row>
    <row r="105" customFormat="false" ht="15" hidden="false" customHeight="false" outlineLevel="0" collapsed="false">
      <c r="A105" s="12" t="n">
        <v>60</v>
      </c>
      <c r="B105" s="13" t="s">
        <v>166</v>
      </c>
      <c r="C105" s="14" t="s">
        <v>118</v>
      </c>
      <c r="D105" s="14" t="s">
        <v>119</v>
      </c>
      <c r="E105" s="14" t="s">
        <v>84</v>
      </c>
      <c r="F105" s="14" t="s">
        <v>167</v>
      </c>
      <c r="G105" s="12" t="n">
        <v>90</v>
      </c>
      <c r="H105" s="12" t="n">
        <v>345</v>
      </c>
      <c r="I105" s="12" t="n">
        <v>30</v>
      </c>
      <c r="J105" s="12" t="n">
        <v>32.8</v>
      </c>
      <c r="K105" s="12" t="n">
        <v>2</v>
      </c>
      <c r="L105" s="15" t="n">
        <f aca="false">J105/K105</f>
        <v>16.4</v>
      </c>
      <c r="M105" s="12" t="n">
        <v>260</v>
      </c>
      <c r="N105" s="16" t="n">
        <f aca="false">L105*M105</f>
        <v>4264</v>
      </c>
      <c r="O105" s="14" t="s">
        <v>51</v>
      </c>
      <c r="P105" s="14"/>
      <c r="Q105" s="17"/>
      <c r="R105" s="17"/>
      <c r="S105" s="14"/>
      <c r="T105" s="18"/>
      <c r="U105" s="14"/>
    </row>
    <row r="106" customFormat="false" ht="22.35" hidden="false" customHeight="false" outlineLevel="0" collapsed="false">
      <c r="A106" s="7" t="n">
        <v>61</v>
      </c>
      <c r="B106" s="8" t="s">
        <v>168</v>
      </c>
      <c r="C106" s="9" t="s">
        <v>118</v>
      </c>
      <c r="D106" s="9" t="s">
        <v>169</v>
      </c>
      <c r="E106" s="9" t="s">
        <v>49</v>
      </c>
      <c r="F106" s="9" t="s">
        <v>170</v>
      </c>
      <c r="G106" s="7" t="n">
        <v>500</v>
      </c>
      <c r="H106" s="7" t="n">
        <v>250</v>
      </c>
      <c r="I106" s="7" t="n">
        <v>50</v>
      </c>
      <c r="J106" s="7" t="n">
        <v>45</v>
      </c>
      <c r="K106" s="7" t="n">
        <v>2</v>
      </c>
      <c r="L106" s="10" t="n">
        <f aca="false">J106/K106</f>
        <v>22.5</v>
      </c>
      <c r="M106" s="7" t="n">
        <v>140</v>
      </c>
      <c r="N106" s="11" t="n">
        <f aca="false">L106*M106</f>
        <v>3150</v>
      </c>
      <c r="O106" s="9" t="s">
        <v>51</v>
      </c>
      <c r="P106" s="7" t="n">
        <v>6000</v>
      </c>
      <c r="Q106" s="11" t="n">
        <f aca="false">SUMIF($A$4:$A$114,A106,$N$4:$N$114)</f>
        <v>6075</v>
      </c>
      <c r="R106" s="11" t="n">
        <f aca="false">P106-Q106</f>
        <v>-75</v>
      </c>
      <c r="S106" s="7" t="str">
        <f aca="false">IF(ABS(R106)&lt;=0.02*P106,"mos","MOS EMAS")</f>
        <v>mos</v>
      </c>
      <c r="T106" s="10" t="n">
        <f aca="false">P106/1000</f>
        <v>6</v>
      </c>
      <c r="U106" s="9" t="s">
        <v>171</v>
      </c>
    </row>
    <row r="107" customFormat="false" ht="15" hidden="false" customHeight="false" outlineLevel="0" collapsed="false">
      <c r="A107" s="7" t="n">
        <v>61</v>
      </c>
      <c r="B107" s="8" t="s">
        <v>168</v>
      </c>
      <c r="C107" s="9" t="s">
        <v>118</v>
      </c>
      <c r="D107" s="9" t="s">
        <v>169</v>
      </c>
      <c r="E107" s="9" t="s">
        <v>84</v>
      </c>
      <c r="F107" s="9" t="s">
        <v>170</v>
      </c>
      <c r="G107" s="7" t="n">
        <v>275</v>
      </c>
      <c r="H107" s="7" t="n">
        <v>275</v>
      </c>
      <c r="I107" s="7" t="n">
        <v>40</v>
      </c>
      <c r="J107" s="7" t="n">
        <v>45</v>
      </c>
      <c r="K107" s="7" t="n">
        <v>2</v>
      </c>
      <c r="L107" s="10" t="n">
        <f aca="false">J107/K107</f>
        <v>22.5</v>
      </c>
      <c r="M107" s="7" t="n">
        <v>130</v>
      </c>
      <c r="N107" s="11" t="n">
        <f aca="false">L107*M107</f>
        <v>2925</v>
      </c>
      <c r="O107" s="9" t="s">
        <v>51</v>
      </c>
      <c r="P107" s="9"/>
      <c r="Q107" s="19"/>
      <c r="R107" s="19"/>
      <c r="S107" s="9"/>
      <c r="T107" s="20"/>
      <c r="U107" s="9"/>
    </row>
    <row r="108" customFormat="false" ht="15" hidden="false" customHeight="false" outlineLevel="0" collapsed="false">
      <c r="A108" s="12" t="n">
        <v>62</v>
      </c>
      <c r="B108" s="13" t="s">
        <v>172</v>
      </c>
      <c r="C108" s="14" t="s">
        <v>118</v>
      </c>
      <c r="D108" s="14" t="s">
        <v>173</v>
      </c>
      <c r="E108" s="14" t="s">
        <v>49</v>
      </c>
      <c r="F108" s="14" t="s">
        <v>155</v>
      </c>
      <c r="G108" s="12" t="n">
        <v>295</v>
      </c>
      <c r="H108" s="12" t="n">
        <v>200</v>
      </c>
      <c r="I108" s="12" t="n">
        <v>45</v>
      </c>
      <c r="J108" s="12" t="n">
        <v>26</v>
      </c>
      <c r="K108" s="12" t="n">
        <v>1</v>
      </c>
      <c r="L108" s="15" t="n">
        <v>26</v>
      </c>
      <c r="M108" s="12" t="n">
        <v>195</v>
      </c>
      <c r="N108" s="16" t="n">
        <f aca="false">L108*M108</f>
        <v>5070</v>
      </c>
      <c r="O108" s="14" t="s">
        <v>51</v>
      </c>
      <c r="P108" s="12" t="n">
        <v>5070</v>
      </c>
      <c r="Q108" s="16" t="n">
        <f aca="false">SUMIF($A$4:$A$114,A108,$N$4:$N$114)</f>
        <v>5070</v>
      </c>
      <c r="R108" s="16" t="n">
        <f aca="false">P108-Q108</f>
        <v>0</v>
      </c>
      <c r="S108" s="12" t="str">
        <f aca="false">IF(ABS(R108)&lt;=0.02*P108,"mos","MOS EMAS")</f>
        <v>mos</v>
      </c>
      <c r="T108" s="15" t="n">
        <f aca="false">P108/1000</f>
        <v>5.07</v>
      </c>
      <c r="U108" s="14"/>
    </row>
    <row r="109" customFormat="false" ht="15" hidden="false" customHeight="false" outlineLevel="0" collapsed="false">
      <c r="A109" s="7" t="n">
        <v>63</v>
      </c>
      <c r="B109" s="8" t="s">
        <v>174</v>
      </c>
      <c r="C109" s="9" t="s">
        <v>118</v>
      </c>
      <c r="D109" s="9" t="s">
        <v>173</v>
      </c>
      <c r="E109" s="9" t="s">
        <v>49</v>
      </c>
      <c r="F109" s="9" t="s">
        <v>175</v>
      </c>
      <c r="G109" s="7" t="n">
        <v>150</v>
      </c>
      <c r="H109" s="7" t="n">
        <v>150</v>
      </c>
      <c r="I109" s="7" t="n">
        <v>25</v>
      </c>
      <c r="J109" s="7" t="n">
        <v>47</v>
      </c>
      <c r="K109" s="7" t="n">
        <v>1</v>
      </c>
      <c r="L109" s="10" t="n">
        <v>47</v>
      </c>
      <c r="M109" s="7" t="n">
        <v>130</v>
      </c>
      <c r="N109" s="11" t="n">
        <f aca="false">L109*M109</f>
        <v>6110</v>
      </c>
      <c r="O109" s="9" t="s">
        <v>51</v>
      </c>
      <c r="P109" s="7" t="n">
        <v>6110</v>
      </c>
      <c r="Q109" s="11" t="n">
        <f aca="false">SUMIF($A$4:$A$114,A109,$N$4:$N$114)</f>
        <v>6110</v>
      </c>
      <c r="R109" s="11" t="n">
        <f aca="false">P109-Q109</f>
        <v>0</v>
      </c>
      <c r="S109" s="7" t="str">
        <f aca="false">IF(ABS(R109)&lt;=0.02*P109,"mos","MOS EMAS")</f>
        <v>mos</v>
      </c>
      <c r="T109" s="10" t="n">
        <f aca="false">P109/1000</f>
        <v>6.11</v>
      </c>
      <c r="U109" s="9"/>
    </row>
    <row r="110" customFormat="false" ht="15" hidden="false" customHeight="false" outlineLevel="0" collapsed="false">
      <c r="A110" s="12" t="n">
        <v>64</v>
      </c>
      <c r="B110" s="13" t="s">
        <v>176</v>
      </c>
      <c r="C110" s="14" t="s">
        <v>118</v>
      </c>
      <c r="D110" s="14" t="s">
        <v>173</v>
      </c>
      <c r="E110" s="14" t="s">
        <v>49</v>
      </c>
      <c r="F110" s="14" t="s">
        <v>177</v>
      </c>
      <c r="G110" s="12" t="n">
        <v>330</v>
      </c>
      <c r="H110" s="12" t="n">
        <v>195</v>
      </c>
      <c r="I110" s="12" t="n">
        <v>35</v>
      </c>
      <c r="J110" s="12" t="n">
        <v>30</v>
      </c>
      <c r="K110" s="12" t="n">
        <v>1</v>
      </c>
      <c r="L110" s="15" t="n">
        <v>30</v>
      </c>
      <c r="M110" s="12" t="n">
        <v>135</v>
      </c>
      <c r="N110" s="16" t="n">
        <f aca="false">L110*M110</f>
        <v>4050</v>
      </c>
      <c r="O110" s="14" t="s">
        <v>51</v>
      </c>
      <c r="P110" s="12" t="n">
        <v>4050</v>
      </c>
      <c r="Q110" s="16" t="n">
        <f aca="false">SUMIF($A$4:$A$114,A110,$N$4:$N$114)</f>
        <v>4050</v>
      </c>
      <c r="R110" s="16" t="n">
        <f aca="false">P110-Q110</f>
        <v>0</v>
      </c>
      <c r="S110" s="12" t="str">
        <f aca="false">IF(ABS(R110)&lt;=0.02*P110,"mos","MOS EMAS")</f>
        <v>mos</v>
      </c>
      <c r="T110" s="15" t="n">
        <f aca="false">P110/1000</f>
        <v>4.05</v>
      </c>
      <c r="U110" s="14"/>
    </row>
    <row r="111" customFormat="false" ht="15" hidden="false" customHeight="false" outlineLevel="0" collapsed="false">
      <c r="A111" s="7" t="n">
        <v>65</v>
      </c>
      <c r="B111" s="8" t="s">
        <v>178</v>
      </c>
      <c r="C111" s="9" t="s">
        <v>118</v>
      </c>
      <c r="D111" s="9" t="s">
        <v>173</v>
      </c>
      <c r="E111" s="9" t="s">
        <v>49</v>
      </c>
      <c r="F111" s="9" t="s">
        <v>177</v>
      </c>
      <c r="G111" s="7" t="n">
        <v>330</v>
      </c>
      <c r="H111" s="7" t="n">
        <v>195</v>
      </c>
      <c r="I111" s="7" t="n">
        <v>35</v>
      </c>
      <c r="J111" s="7" t="n">
        <v>30</v>
      </c>
      <c r="K111" s="7" t="n">
        <v>1</v>
      </c>
      <c r="L111" s="10" t="n">
        <v>30</v>
      </c>
      <c r="M111" s="7" t="n">
        <v>195</v>
      </c>
      <c r="N111" s="11" t="n">
        <f aca="false">L111*M111</f>
        <v>5850</v>
      </c>
      <c r="O111" s="9" t="s">
        <v>51</v>
      </c>
      <c r="P111" s="7" t="n">
        <v>5850</v>
      </c>
      <c r="Q111" s="11" t="n">
        <f aca="false">SUMIF($A$4:$A$114,A111,$N$4:$N$114)</f>
        <v>5850</v>
      </c>
      <c r="R111" s="11" t="n">
        <f aca="false">P111-Q111</f>
        <v>0</v>
      </c>
      <c r="S111" s="7" t="str">
        <f aca="false">IF(ABS(R111)&lt;=0.02*P111,"mos","MOS EMAS")</f>
        <v>mos</v>
      </c>
      <c r="T111" s="10" t="n">
        <f aca="false">P111/1000</f>
        <v>5.85</v>
      </c>
      <c r="U111" s="9"/>
    </row>
    <row r="112" customFormat="false" ht="22.35" hidden="false" customHeight="false" outlineLevel="0" collapsed="false">
      <c r="A112" s="12" t="n">
        <v>66</v>
      </c>
      <c r="B112" s="13" t="s">
        <v>179</v>
      </c>
      <c r="C112" s="14" t="s">
        <v>118</v>
      </c>
      <c r="D112" s="14" t="s">
        <v>180</v>
      </c>
      <c r="E112" s="14" t="s">
        <v>49</v>
      </c>
      <c r="F112" s="14" t="s">
        <v>181</v>
      </c>
      <c r="G112" s="14"/>
      <c r="H112" s="14"/>
      <c r="I112" s="12" t="n">
        <v>35</v>
      </c>
      <c r="J112" s="12" t="n">
        <v>21</v>
      </c>
      <c r="K112" s="12" t="n">
        <v>3</v>
      </c>
      <c r="L112" s="15" t="n">
        <v>21</v>
      </c>
      <c r="M112" s="12" t="n">
        <v>300</v>
      </c>
      <c r="N112" s="16" t="n">
        <f aca="false">L112*M112</f>
        <v>6300</v>
      </c>
      <c r="O112" s="14" t="s">
        <v>51</v>
      </c>
      <c r="P112" s="12" t="n">
        <v>6300</v>
      </c>
      <c r="Q112" s="16" t="n">
        <f aca="false">SUMIF($A$4:$A$114,A112,$N$4:$N$114)</f>
        <v>6300</v>
      </c>
      <c r="R112" s="16" t="n">
        <f aca="false">P112-Q112</f>
        <v>0</v>
      </c>
      <c r="S112" s="12" t="str">
        <f aca="false">IF(ABS(R112)&lt;=0.02*P112,"mos","MOS EMAS")</f>
        <v>mos</v>
      </c>
      <c r="T112" s="15" t="n">
        <f aca="false">P112/1000</f>
        <v>6.3</v>
      </c>
      <c r="U112" s="14" t="s">
        <v>182</v>
      </c>
    </row>
    <row r="113" customFormat="false" ht="22.35" hidden="false" customHeight="false" outlineLevel="0" collapsed="false">
      <c r="A113" s="7" t="n">
        <v>67</v>
      </c>
      <c r="B113" s="8" t="s">
        <v>183</v>
      </c>
      <c r="C113" s="9" t="s">
        <v>118</v>
      </c>
      <c r="D113" s="9" t="s">
        <v>180</v>
      </c>
      <c r="E113" s="9" t="s">
        <v>49</v>
      </c>
      <c r="F113" s="9" t="s">
        <v>181</v>
      </c>
      <c r="G113" s="9"/>
      <c r="H113" s="9"/>
      <c r="I113" s="7" t="n">
        <v>35</v>
      </c>
      <c r="J113" s="7" t="n">
        <v>21</v>
      </c>
      <c r="K113" s="7" t="n">
        <v>3</v>
      </c>
      <c r="L113" s="10" t="n">
        <v>21</v>
      </c>
      <c r="M113" s="7" t="n">
        <v>300</v>
      </c>
      <c r="N113" s="11" t="n">
        <f aca="false">L113*M113</f>
        <v>6300</v>
      </c>
      <c r="O113" s="9" t="s">
        <v>51</v>
      </c>
      <c r="P113" s="7" t="n">
        <v>6300</v>
      </c>
      <c r="Q113" s="11" t="n">
        <f aca="false">SUMIF($A$4:$A$114,A113,$N$4:$N$114)</f>
        <v>6300</v>
      </c>
      <c r="R113" s="11" t="n">
        <f aca="false">P113-Q113</f>
        <v>0</v>
      </c>
      <c r="S113" s="7" t="str">
        <f aca="false">IF(ABS(R113)&lt;=0.02*P113,"mos","MOS EMAS")</f>
        <v>mos</v>
      </c>
      <c r="T113" s="10" t="n">
        <f aca="false">P113/1000</f>
        <v>6.3</v>
      </c>
      <c r="U113" s="9" t="s">
        <v>182</v>
      </c>
    </row>
    <row r="114" customFormat="false" ht="22.35" hidden="false" customHeight="false" outlineLevel="0" collapsed="false">
      <c r="A114" s="12" t="n">
        <v>68</v>
      </c>
      <c r="B114" s="13" t="s">
        <v>184</v>
      </c>
      <c r="C114" s="14" t="s">
        <v>118</v>
      </c>
      <c r="D114" s="14" t="s">
        <v>180</v>
      </c>
      <c r="E114" s="14" t="s">
        <v>49</v>
      </c>
      <c r="F114" s="14" t="s">
        <v>181</v>
      </c>
      <c r="G114" s="14"/>
      <c r="H114" s="14"/>
      <c r="I114" s="12" t="n">
        <v>35</v>
      </c>
      <c r="J114" s="12" t="n">
        <v>21</v>
      </c>
      <c r="K114" s="12" t="n">
        <v>3</v>
      </c>
      <c r="L114" s="15" t="n">
        <v>21</v>
      </c>
      <c r="M114" s="12" t="n">
        <v>300</v>
      </c>
      <c r="N114" s="16" t="n">
        <f aca="false">L114*M114</f>
        <v>6300</v>
      </c>
      <c r="O114" s="14" t="s">
        <v>51</v>
      </c>
      <c r="P114" s="12" t="n">
        <v>6300</v>
      </c>
      <c r="Q114" s="16" t="n">
        <f aca="false">SUMIF($A$4:$A$114,A114,$N$4:$N$114)</f>
        <v>6300</v>
      </c>
      <c r="R114" s="16" t="n">
        <f aca="false">P114-Q114</f>
        <v>0</v>
      </c>
      <c r="S114" s="12" t="str">
        <f aca="false">IF(ABS(R114)&lt;=0.02*P114,"mos","MOS EMAS")</f>
        <v>mos</v>
      </c>
      <c r="T114" s="15" t="n">
        <f aca="false">P114/1000</f>
        <v>6.3</v>
      </c>
      <c r="U114" s="14" t="s">
        <v>182</v>
      </c>
    </row>
  </sheetData>
  <autoFilter ref="A3:U114"/>
  <mergeCells count="2">
    <mergeCell ref="A1:U1"/>
    <mergeCell ref="A2:U2"/>
  </mergeCells>
  <conditionalFormatting sqref="S4:S114">
    <cfRule type="expression" priority="2" aboveAverage="0" equalAverage="0" bottom="0" percent="0" rank="0" text="" dxfId="5">
      <formula>S4="MOS EMAS"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8" min="8" style="0" width="24"/>
    <col collapsed="false" customWidth="true" hidden="false" outlineLevel="0" max="9" min="9" style="0" width="9"/>
    <col collapsed="false" customWidth="true" hidden="false" outlineLevel="0" max="10" min="10" style="0" width="40"/>
    <col collapsed="false" customWidth="true" hidden="false" outlineLevel="0" max="11" min="11" style="0" width="46"/>
    <col collapsed="false" customWidth="true" hidden="false" outlineLevel="0" max="12" min="12" style="0" width="18"/>
  </cols>
  <sheetData>
    <row r="1" customFormat="false" ht="17.35" hidden="false" customHeight="false" outlineLevel="0" collapsed="false">
      <c r="A1" s="4" t="s">
        <v>185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30" hidden="false" customHeight="true" outlineLevel="0" collapsed="false">
      <c r="A2" s="5" t="s">
        <v>186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42" hidden="false" customHeight="true" outlineLevel="0" collapsed="false">
      <c r="A3" s="6" t="s">
        <v>187</v>
      </c>
      <c r="B3" s="6" t="s">
        <v>188</v>
      </c>
      <c r="C3" s="6" t="s">
        <v>189</v>
      </c>
      <c r="D3" s="6" t="s">
        <v>190</v>
      </c>
      <c r="E3" s="6" t="s">
        <v>191</v>
      </c>
      <c r="F3" s="6" t="s">
        <v>192</v>
      </c>
      <c r="G3" s="6" t="s">
        <v>193</v>
      </c>
      <c r="H3" s="6" t="s">
        <v>194</v>
      </c>
      <c r="I3" s="6" t="s">
        <v>195</v>
      </c>
      <c r="J3" s="6" t="s">
        <v>196</v>
      </c>
      <c r="K3" s="6" t="s">
        <v>197</v>
      </c>
      <c r="L3" s="6" t="s">
        <v>198</v>
      </c>
    </row>
    <row r="4" customFormat="false" ht="15" hidden="false" customHeight="false" outlineLevel="0" collapsed="false">
      <c r="A4" s="7" t="n">
        <v>1</v>
      </c>
      <c r="B4" s="7" t="n">
        <v>3</v>
      </c>
      <c r="C4" s="8" t="s">
        <v>199</v>
      </c>
      <c r="D4" s="9" t="s">
        <v>200</v>
      </c>
      <c r="E4" s="9" t="s">
        <v>201</v>
      </c>
      <c r="F4" s="21" t="n">
        <v>5.5</v>
      </c>
      <c r="G4" s="9" t="s">
        <v>202</v>
      </c>
      <c r="H4" s="9" t="s">
        <v>203</v>
      </c>
      <c r="I4" s="21" t="n">
        <v>6</v>
      </c>
      <c r="J4" s="9"/>
      <c r="K4" s="9" t="s">
        <v>204</v>
      </c>
      <c r="L4" s="9" t="s">
        <v>205</v>
      </c>
    </row>
    <row r="5" customFormat="false" ht="15" hidden="false" customHeight="false" outlineLevel="0" collapsed="false">
      <c r="A5" s="7" t="n">
        <v>2</v>
      </c>
      <c r="B5" s="7" t="n">
        <v>3</v>
      </c>
      <c r="C5" s="8" t="s">
        <v>199</v>
      </c>
      <c r="D5" s="9" t="s">
        <v>206</v>
      </c>
      <c r="E5" s="9" t="s">
        <v>47</v>
      </c>
      <c r="F5" s="21" t="n">
        <v>3</v>
      </c>
      <c r="G5" s="9" t="s">
        <v>202</v>
      </c>
      <c r="H5" s="9" t="s">
        <v>207</v>
      </c>
      <c r="I5" s="21" t="n">
        <v>3.6</v>
      </c>
      <c r="J5" s="9"/>
      <c r="K5" s="9"/>
      <c r="L5" s="9" t="s">
        <v>205</v>
      </c>
    </row>
    <row r="6" customFormat="false" ht="22.35" hidden="false" customHeight="false" outlineLevel="0" collapsed="false">
      <c r="A6" s="22" t="n">
        <v>3</v>
      </c>
      <c r="B6" s="22" t="n">
        <v>3</v>
      </c>
      <c r="C6" s="23" t="s">
        <v>199</v>
      </c>
      <c r="D6" s="24"/>
      <c r="E6" s="24" t="s">
        <v>47</v>
      </c>
      <c r="F6" s="25" t="n">
        <v>3</v>
      </c>
      <c r="G6" s="24" t="s">
        <v>202</v>
      </c>
      <c r="H6" s="24"/>
      <c r="I6" s="26"/>
      <c r="J6" s="24"/>
      <c r="K6" s="24"/>
      <c r="L6" s="24" t="s">
        <v>208</v>
      </c>
    </row>
    <row r="7" customFormat="false" ht="15" hidden="false" customHeight="false" outlineLevel="0" collapsed="false">
      <c r="A7" s="7" t="n">
        <v>4</v>
      </c>
      <c r="B7" s="7" t="n">
        <v>3</v>
      </c>
      <c r="C7" s="8" t="s">
        <v>93</v>
      </c>
      <c r="D7" s="9"/>
      <c r="E7" s="9" t="s">
        <v>72</v>
      </c>
      <c r="F7" s="21" t="n">
        <v>4.5</v>
      </c>
      <c r="G7" s="9" t="s">
        <v>209</v>
      </c>
      <c r="H7" s="9" t="s">
        <v>210</v>
      </c>
      <c r="I7" s="21" t="n">
        <v>5.5</v>
      </c>
      <c r="J7" s="9"/>
      <c r="K7" s="9"/>
      <c r="L7" s="9" t="s">
        <v>205</v>
      </c>
    </row>
    <row r="8" customFormat="false" ht="15" hidden="false" customHeight="false" outlineLevel="0" collapsed="false">
      <c r="A8" s="7" t="n">
        <v>5</v>
      </c>
      <c r="B8" s="7" t="n">
        <v>4</v>
      </c>
      <c r="C8" s="8" t="s">
        <v>200</v>
      </c>
      <c r="D8" s="9"/>
      <c r="E8" s="9" t="s">
        <v>47</v>
      </c>
      <c r="F8" s="21" t="n">
        <v>3</v>
      </c>
      <c r="G8" s="9" t="s">
        <v>202</v>
      </c>
      <c r="H8" s="9" t="s">
        <v>207</v>
      </c>
      <c r="I8" s="21" t="n">
        <v>3.8</v>
      </c>
      <c r="J8" s="9"/>
      <c r="K8" s="9"/>
      <c r="L8" s="9" t="s">
        <v>205</v>
      </c>
    </row>
    <row r="9" customFormat="false" ht="22.35" hidden="false" customHeight="false" outlineLevel="0" collapsed="false">
      <c r="A9" s="7" t="n">
        <v>6</v>
      </c>
      <c r="B9" s="7" t="n">
        <v>4</v>
      </c>
      <c r="C9" s="8" t="s">
        <v>211</v>
      </c>
      <c r="D9" s="9"/>
      <c r="E9" s="9" t="s">
        <v>212</v>
      </c>
      <c r="F9" s="27"/>
      <c r="G9" s="9" t="s">
        <v>213</v>
      </c>
      <c r="H9" s="9" t="s">
        <v>214</v>
      </c>
      <c r="I9" s="21" t="n">
        <v>5.9</v>
      </c>
      <c r="J9" s="9" t="s">
        <v>215</v>
      </c>
      <c r="K9" s="9"/>
      <c r="L9" s="9" t="s">
        <v>205</v>
      </c>
    </row>
    <row r="10" customFormat="false" ht="15" hidden="false" customHeight="false" outlineLevel="0" collapsed="false">
      <c r="A10" s="7" t="n">
        <v>7</v>
      </c>
      <c r="B10" s="7" t="n">
        <v>4</v>
      </c>
      <c r="C10" s="8" t="s">
        <v>216</v>
      </c>
      <c r="D10" s="9"/>
      <c r="E10" s="9"/>
      <c r="F10" s="27"/>
      <c r="G10" s="9" t="s">
        <v>217</v>
      </c>
      <c r="H10" s="9" t="s">
        <v>218</v>
      </c>
      <c r="I10" s="21" t="n">
        <v>5</v>
      </c>
      <c r="J10" s="9" t="s">
        <v>219</v>
      </c>
      <c r="K10" s="9"/>
      <c r="L10" s="9" t="s">
        <v>205</v>
      </c>
    </row>
    <row r="11" customFormat="false" ht="15" hidden="false" customHeight="false" outlineLevel="0" collapsed="false">
      <c r="A11" s="7" t="n">
        <v>8</v>
      </c>
      <c r="B11" s="7" t="n">
        <v>4</v>
      </c>
      <c r="C11" s="8" t="s">
        <v>220</v>
      </c>
      <c r="D11" s="9"/>
      <c r="E11" s="9" t="s">
        <v>221</v>
      </c>
      <c r="F11" s="21" t="n">
        <v>3</v>
      </c>
      <c r="G11" s="9" t="s">
        <v>222</v>
      </c>
      <c r="H11" s="9" t="s">
        <v>223</v>
      </c>
      <c r="I11" s="21" t="n">
        <v>4.6</v>
      </c>
      <c r="J11" s="9" t="s">
        <v>224</v>
      </c>
      <c r="K11" s="9" t="s">
        <v>225</v>
      </c>
      <c r="L11" s="9" t="s">
        <v>205</v>
      </c>
    </row>
    <row r="12" customFormat="false" ht="15" hidden="false" customHeight="false" outlineLevel="0" collapsed="false">
      <c r="A12" s="7" t="n">
        <v>9</v>
      </c>
      <c r="B12" s="7" t="n">
        <v>5</v>
      </c>
      <c r="C12" s="8" t="s">
        <v>226</v>
      </c>
      <c r="D12" s="9"/>
      <c r="E12" s="9" t="s">
        <v>221</v>
      </c>
      <c r="F12" s="21" t="n">
        <v>3</v>
      </c>
      <c r="G12" s="9" t="s">
        <v>227</v>
      </c>
      <c r="H12" s="9" t="s">
        <v>228</v>
      </c>
      <c r="I12" s="21" t="n">
        <v>4.3</v>
      </c>
      <c r="J12" s="9"/>
      <c r="K12" s="9"/>
      <c r="L12" s="9" t="s">
        <v>205</v>
      </c>
    </row>
    <row r="13" customFormat="false" ht="15" hidden="false" customHeight="false" outlineLevel="0" collapsed="false">
      <c r="A13" s="7" t="n">
        <v>10</v>
      </c>
      <c r="B13" s="7" t="n">
        <v>5</v>
      </c>
      <c r="C13" s="8" t="s">
        <v>229</v>
      </c>
      <c r="D13" s="9"/>
      <c r="E13" s="9" t="s">
        <v>221</v>
      </c>
      <c r="F13" s="21" t="n">
        <v>3</v>
      </c>
      <c r="G13" s="9" t="s">
        <v>227</v>
      </c>
      <c r="H13" s="9" t="s">
        <v>230</v>
      </c>
      <c r="I13" s="21" t="n">
        <v>4.6</v>
      </c>
      <c r="J13" s="9"/>
      <c r="K13" s="9"/>
      <c r="L13" s="9" t="s">
        <v>205</v>
      </c>
    </row>
    <row r="14" customFormat="false" ht="15" hidden="false" customHeight="false" outlineLevel="0" collapsed="false">
      <c r="A14" s="7" t="n">
        <v>11</v>
      </c>
      <c r="B14" s="7" t="n">
        <v>5</v>
      </c>
      <c r="C14" s="8" t="s">
        <v>231</v>
      </c>
      <c r="D14" s="9"/>
      <c r="E14" s="9" t="s">
        <v>221</v>
      </c>
      <c r="F14" s="21" t="n">
        <v>3</v>
      </c>
      <c r="G14" s="9" t="s">
        <v>232</v>
      </c>
      <c r="H14" s="9" t="s">
        <v>233</v>
      </c>
      <c r="I14" s="21" t="n">
        <v>4.6</v>
      </c>
      <c r="J14" s="9" t="s">
        <v>234</v>
      </c>
      <c r="K14" s="9"/>
      <c r="L14" s="9" t="s">
        <v>205</v>
      </c>
    </row>
    <row r="15" customFormat="false" ht="22.35" hidden="false" customHeight="false" outlineLevel="0" collapsed="false">
      <c r="A15" s="22" t="n">
        <v>12</v>
      </c>
      <c r="B15" s="22" t="n">
        <v>5</v>
      </c>
      <c r="C15" s="23" t="s">
        <v>235</v>
      </c>
      <c r="D15" s="24"/>
      <c r="E15" s="24" t="s">
        <v>47</v>
      </c>
      <c r="F15" s="25" t="n">
        <v>3</v>
      </c>
      <c r="G15" s="24" t="s">
        <v>202</v>
      </c>
      <c r="H15" s="24"/>
      <c r="I15" s="26"/>
      <c r="J15" s="24"/>
      <c r="K15" s="24"/>
      <c r="L15" s="24" t="s">
        <v>208</v>
      </c>
    </row>
    <row r="16" customFormat="false" ht="15" hidden="false" customHeight="false" outlineLevel="0" collapsed="false">
      <c r="A16" s="7" t="n">
        <v>13</v>
      </c>
      <c r="B16" s="7" t="n">
        <v>6</v>
      </c>
      <c r="C16" s="8" t="s">
        <v>236</v>
      </c>
      <c r="D16" s="9"/>
      <c r="E16" s="9" t="s">
        <v>237</v>
      </c>
      <c r="F16" s="21" t="n">
        <v>4.5</v>
      </c>
      <c r="G16" s="9" t="s">
        <v>238</v>
      </c>
      <c r="H16" s="9" t="s">
        <v>239</v>
      </c>
      <c r="I16" s="21" t="n">
        <v>6</v>
      </c>
      <c r="J16" s="9"/>
      <c r="K16" s="9" t="s">
        <v>240</v>
      </c>
      <c r="L16" s="9" t="s">
        <v>205</v>
      </c>
    </row>
    <row r="17" customFormat="false" ht="22.35" hidden="false" customHeight="false" outlineLevel="0" collapsed="false">
      <c r="A17" s="22" t="n">
        <v>14</v>
      </c>
      <c r="B17" s="22" t="n">
        <v>6</v>
      </c>
      <c r="C17" s="23" t="s">
        <v>199</v>
      </c>
      <c r="D17" s="24"/>
      <c r="E17" s="24"/>
      <c r="F17" s="26"/>
      <c r="G17" s="24" t="s">
        <v>241</v>
      </c>
      <c r="H17" s="24"/>
      <c r="I17" s="26"/>
      <c r="J17" s="24"/>
      <c r="K17" s="24"/>
      <c r="L17" s="24" t="s">
        <v>208</v>
      </c>
    </row>
    <row r="18" customFormat="false" ht="15" hidden="false" customHeight="false" outlineLevel="0" collapsed="false">
      <c r="A18" s="7" t="n">
        <v>15</v>
      </c>
      <c r="B18" s="7" t="n">
        <v>6</v>
      </c>
      <c r="C18" s="8" t="s">
        <v>242</v>
      </c>
      <c r="D18" s="9"/>
      <c r="E18" s="9" t="s">
        <v>243</v>
      </c>
      <c r="F18" s="27"/>
      <c r="G18" s="9" t="s">
        <v>244</v>
      </c>
      <c r="H18" s="9" t="s">
        <v>245</v>
      </c>
      <c r="I18" s="21" t="n">
        <v>5.3</v>
      </c>
      <c r="J18" s="9"/>
      <c r="K18" s="9"/>
      <c r="L18" s="9" t="s">
        <v>205</v>
      </c>
    </row>
    <row r="19" customFormat="false" ht="22.35" hidden="false" customHeight="false" outlineLevel="0" collapsed="false">
      <c r="A19" s="28" t="n">
        <v>16</v>
      </c>
      <c r="B19" s="28" t="n">
        <v>6</v>
      </c>
      <c r="C19" s="29" t="s">
        <v>235</v>
      </c>
      <c r="D19" s="30"/>
      <c r="E19" s="30" t="s">
        <v>246</v>
      </c>
      <c r="F19" s="31"/>
      <c r="G19" s="30" t="s">
        <v>202</v>
      </c>
      <c r="H19" s="30" t="s">
        <v>247</v>
      </c>
      <c r="I19" s="31"/>
      <c r="J19" s="30"/>
      <c r="K19" s="30" t="s">
        <v>248</v>
      </c>
      <c r="L19" s="30" t="s">
        <v>249</v>
      </c>
    </row>
    <row r="20" customFormat="false" ht="15" hidden="false" customHeight="false" outlineLevel="0" collapsed="false">
      <c r="A20" s="22" t="n">
        <v>17</v>
      </c>
      <c r="B20" s="22" t="n">
        <v>7</v>
      </c>
      <c r="C20" s="23"/>
      <c r="D20" s="24"/>
      <c r="E20" s="24"/>
      <c r="F20" s="26"/>
      <c r="G20" s="24"/>
      <c r="H20" s="24"/>
      <c r="I20" s="26"/>
      <c r="J20" s="24"/>
      <c r="K20" s="24" t="s">
        <v>250</v>
      </c>
      <c r="L20" s="24" t="s">
        <v>251</v>
      </c>
    </row>
    <row r="21" customFormat="false" ht="15" hidden="false" customHeight="false" outlineLevel="0" collapsed="false">
      <c r="A21" s="22" t="n">
        <v>18</v>
      </c>
      <c r="B21" s="22" t="n">
        <v>7</v>
      </c>
      <c r="C21" s="23"/>
      <c r="D21" s="24"/>
      <c r="E21" s="24"/>
      <c r="F21" s="26"/>
      <c r="G21" s="24"/>
      <c r="H21" s="24"/>
      <c r="I21" s="26"/>
      <c r="J21" s="24"/>
      <c r="K21" s="24" t="s">
        <v>250</v>
      </c>
      <c r="L21" s="24" t="s">
        <v>251</v>
      </c>
    </row>
    <row r="22" customFormat="false" ht="15" hidden="false" customHeight="false" outlineLevel="0" collapsed="false">
      <c r="A22" s="22" t="n">
        <v>19</v>
      </c>
      <c r="B22" s="22" t="n">
        <v>8</v>
      </c>
      <c r="C22" s="23"/>
      <c r="D22" s="24"/>
      <c r="E22" s="24"/>
      <c r="F22" s="26"/>
      <c r="G22" s="24"/>
      <c r="H22" s="24"/>
      <c r="I22" s="26"/>
      <c r="J22" s="24"/>
      <c r="K22" s="24" t="s">
        <v>250</v>
      </c>
      <c r="L22" s="24" t="s">
        <v>251</v>
      </c>
    </row>
    <row r="23" customFormat="false" ht="15" hidden="false" customHeight="false" outlineLevel="0" collapsed="false">
      <c r="A23" s="22" t="n">
        <v>20</v>
      </c>
      <c r="B23" s="22" t="n">
        <v>8</v>
      </c>
      <c r="C23" s="23"/>
      <c r="D23" s="24"/>
      <c r="E23" s="24"/>
      <c r="F23" s="26"/>
      <c r="G23" s="24"/>
      <c r="H23" s="24"/>
      <c r="I23" s="26"/>
      <c r="J23" s="24"/>
      <c r="K23" s="24" t="s">
        <v>250</v>
      </c>
      <c r="L23" s="24" t="s">
        <v>251</v>
      </c>
    </row>
    <row r="24" customFormat="false" ht="15" hidden="false" customHeight="false" outlineLevel="0" collapsed="false">
      <c r="A24" s="7" t="n">
        <v>21</v>
      </c>
      <c r="B24" s="7" t="n">
        <v>9</v>
      </c>
      <c r="C24" s="8" t="s">
        <v>211</v>
      </c>
      <c r="D24" s="9"/>
      <c r="E24" s="9" t="s">
        <v>212</v>
      </c>
      <c r="F24" s="27"/>
      <c r="G24" s="9" t="s">
        <v>252</v>
      </c>
      <c r="H24" s="9" t="s">
        <v>253</v>
      </c>
      <c r="I24" s="21" t="n">
        <v>5.8</v>
      </c>
      <c r="J24" s="9"/>
      <c r="K24" s="9"/>
      <c r="L24" s="9" t="s">
        <v>205</v>
      </c>
    </row>
    <row r="25" customFormat="false" ht="15" hidden="false" customHeight="false" outlineLevel="0" collapsed="false">
      <c r="A25" s="7" t="n">
        <v>22</v>
      </c>
      <c r="B25" s="7" t="n">
        <v>9</v>
      </c>
      <c r="C25" s="8" t="s">
        <v>254</v>
      </c>
      <c r="D25" s="9"/>
      <c r="E25" s="9" t="s">
        <v>255</v>
      </c>
      <c r="F25" s="27"/>
      <c r="G25" s="9" t="s">
        <v>256</v>
      </c>
      <c r="H25" s="9" t="s">
        <v>257</v>
      </c>
      <c r="I25" s="21" t="n">
        <v>5.3</v>
      </c>
      <c r="J25" s="9"/>
      <c r="K25" s="9"/>
      <c r="L25" s="9" t="s">
        <v>205</v>
      </c>
    </row>
    <row r="26" customFormat="false" ht="15" hidden="false" customHeight="false" outlineLevel="0" collapsed="false">
      <c r="A26" s="7" t="n">
        <v>23</v>
      </c>
      <c r="B26" s="7" t="n">
        <v>9</v>
      </c>
      <c r="C26" s="8" t="s">
        <v>211</v>
      </c>
      <c r="D26" s="9"/>
      <c r="E26" s="9" t="s">
        <v>212</v>
      </c>
      <c r="F26" s="27"/>
      <c r="G26" s="9" t="s">
        <v>258</v>
      </c>
      <c r="H26" s="9" t="s">
        <v>253</v>
      </c>
      <c r="I26" s="21" t="n">
        <v>5.8</v>
      </c>
      <c r="J26" s="9"/>
      <c r="K26" s="9"/>
      <c r="L26" s="9" t="s">
        <v>205</v>
      </c>
    </row>
    <row r="27" customFormat="false" ht="15" hidden="false" customHeight="false" outlineLevel="0" collapsed="false">
      <c r="A27" s="7" t="n">
        <v>24</v>
      </c>
      <c r="B27" s="7" t="n">
        <v>9</v>
      </c>
      <c r="C27" s="8" t="s">
        <v>259</v>
      </c>
      <c r="D27" s="9"/>
      <c r="E27" s="9" t="s">
        <v>260</v>
      </c>
      <c r="F27" s="21" t="n">
        <v>4</v>
      </c>
      <c r="G27" s="9" t="s">
        <v>261</v>
      </c>
      <c r="H27" s="9" t="s">
        <v>262</v>
      </c>
      <c r="I27" s="21" t="n">
        <v>5.3</v>
      </c>
      <c r="J27" s="9"/>
      <c r="K27" s="9"/>
      <c r="L27" s="9" t="s">
        <v>205</v>
      </c>
    </row>
    <row r="28" customFormat="false" ht="15" hidden="false" customHeight="false" outlineLevel="0" collapsed="false">
      <c r="A28" s="7" t="n">
        <v>25</v>
      </c>
      <c r="B28" s="7" t="n">
        <v>10</v>
      </c>
      <c r="C28" s="8" t="s">
        <v>263</v>
      </c>
      <c r="D28" s="9"/>
      <c r="E28" s="9" t="s">
        <v>47</v>
      </c>
      <c r="F28" s="21" t="n">
        <v>3</v>
      </c>
      <c r="G28" s="9" t="s">
        <v>264</v>
      </c>
      <c r="H28" s="9" t="s">
        <v>265</v>
      </c>
      <c r="I28" s="21" t="n">
        <v>5.2</v>
      </c>
      <c r="J28" s="9"/>
      <c r="K28" s="9"/>
      <c r="L28" s="9" t="s">
        <v>205</v>
      </c>
    </row>
    <row r="29" customFormat="false" ht="15" hidden="false" customHeight="false" outlineLevel="0" collapsed="false">
      <c r="A29" s="7" t="n">
        <v>26</v>
      </c>
      <c r="B29" s="7" t="n">
        <v>10</v>
      </c>
      <c r="C29" s="8" t="s">
        <v>266</v>
      </c>
      <c r="D29" s="9"/>
      <c r="E29" s="9" t="s">
        <v>267</v>
      </c>
      <c r="F29" s="21" t="n">
        <v>3</v>
      </c>
      <c r="G29" s="9" t="s">
        <v>268</v>
      </c>
      <c r="H29" s="9" t="s">
        <v>269</v>
      </c>
      <c r="I29" s="21" t="n">
        <v>5.8</v>
      </c>
      <c r="J29" s="9"/>
      <c r="K29" s="9"/>
      <c r="L29" s="9" t="s">
        <v>205</v>
      </c>
    </row>
    <row r="30" customFormat="false" ht="15" hidden="false" customHeight="false" outlineLevel="0" collapsed="false">
      <c r="A30" s="7" t="n">
        <v>27</v>
      </c>
      <c r="B30" s="7" t="n">
        <v>10</v>
      </c>
      <c r="C30" s="8" t="s">
        <v>270</v>
      </c>
      <c r="D30" s="9"/>
      <c r="E30" s="9" t="s">
        <v>271</v>
      </c>
      <c r="F30" s="27"/>
      <c r="G30" s="9" t="s">
        <v>272</v>
      </c>
      <c r="H30" s="9" t="s">
        <v>273</v>
      </c>
      <c r="I30" s="21" t="n">
        <v>4.9</v>
      </c>
      <c r="J30" s="9"/>
      <c r="K30" s="9"/>
      <c r="L30" s="9" t="s">
        <v>205</v>
      </c>
    </row>
    <row r="31" customFormat="false" ht="15" hidden="false" customHeight="false" outlineLevel="0" collapsed="false">
      <c r="A31" s="7" t="n">
        <v>28</v>
      </c>
      <c r="B31" s="7" t="n">
        <v>10</v>
      </c>
      <c r="C31" s="8" t="s">
        <v>274</v>
      </c>
      <c r="D31" s="9"/>
      <c r="E31" s="9" t="s">
        <v>275</v>
      </c>
      <c r="F31" s="27"/>
      <c r="G31" s="9" t="s">
        <v>276</v>
      </c>
      <c r="H31" s="9" t="s">
        <v>277</v>
      </c>
      <c r="I31" s="21" t="n">
        <v>6</v>
      </c>
      <c r="J31" s="9"/>
      <c r="K31" s="9"/>
      <c r="L31" s="9" t="s">
        <v>205</v>
      </c>
    </row>
    <row r="32" customFormat="false" ht="22.35" hidden="false" customHeight="false" outlineLevel="0" collapsed="false">
      <c r="A32" s="7" t="n">
        <v>29</v>
      </c>
      <c r="B32" s="7" t="n">
        <v>11</v>
      </c>
      <c r="C32" s="8" t="s">
        <v>278</v>
      </c>
      <c r="D32" s="9"/>
      <c r="E32" s="9" t="s">
        <v>237</v>
      </c>
      <c r="F32" s="21" t="n">
        <v>3</v>
      </c>
      <c r="G32" s="9" t="s">
        <v>279</v>
      </c>
      <c r="H32" s="9" t="s">
        <v>280</v>
      </c>
      <c r="I32" s="21" t="n">
        <v>6</v>
      </c>
      <c r="J32" s="9"/>
      <c r="K32" s="9"/>
      <c r="L32" s="9" t="s">
        <v>205</v>
      </c>
    </row>
    <row r="33" customFormat="false" ht="15" hidden="false" customHeight="false" outlineLevel="0" collapsed="false">
      <c r="A33" s="7" t="n">
        <v>30</v>
      </c>
      <c r="B33" s="7" t="n">
        <v>11</v>
      </c>
      <c r="C33" s="8" t="s">
        <v>236</v>
      </c>
      <c r="D33" s="9"/>
      <c r="E33" s="9"/>
      <c r="F33" s="27"/>
      <c r="G33" s="9" t="s">
        <v>281</v>
      </c>
      <c r="H33" s="9" t="s">
        <v>282</v>
      </c>
      <c r="I33" s="21" t="n">
        <v>6.2</v>
      </c>
      <c r="J33" s="9"/>
      <c r="K33" s="9"/>
      <c r="L33" s="9" t="s">
        <v>205</v>
      </c>
    </row>
    <row r="34" customFormat="false" ht="15" hidden="false" customHeight="false" outlineLevel="0" collapsed="false">
      <c r="A34" s="7" t="n">
        <v>31</v>
      </c>
      <c r="B34" s="7" t="n">
        <v>11</v>
      </c>
      <c r="C34" s="8" t="s">
        <v>236</v>
      </c>
      <c r="D34" s="9"/>
      <c r="E34" s="9"/>
      <c r="F34" s="27"/>
      <c r="G34" s="9" t="s">
        <v>238</v>
      </c>
      <c r="H34" s="9" t="s">
        <v>280</v>
      </c>
      <c r="I34" s="21" t="n">
        <v>6</v>
      </c>
      <c r="J34" s="9"/>
      <c r="K34" s="9"/>
      <c r="L34" s="9" t="s">
        <v>205</v>
      </c>
    </row>
    <row r="35" customFormat="false" ht="22.35" hidden="false" customHeight="false" outlineLevel="0" collapsed="false">
      <c r="A35" s="7" t="n">
        <v>32</v>
      </c>
      <c r="B35" s="7" t="n">
        <v>11</v>
      </c>
      <c r="C35" s="8" t="s">
        <v>283</v>
      </c>
      <c r="D35" s="9"/>
      <c r="E35" s="9"/>
      <c r="F35" s="27"/>
      <c r="G35" s="9" t="s">
        <v>238</v>
      </c>
      <c r="H35" s="9" t="s">
        <v>280</v>
      </c>
      <c r="I35" s="21" t="n">
        <v>6</v>
      </c>
      <c r="J35" s="9"/>
      <c r="K35" s="9" t="s">
        <v>284</v>
      </c>
      <c r="L35" s="9" t="s">
        <v>205</v>
      </c>
    </row>
    <row r="36" customFormat="false" ht="15" hidden="false" customHeight="false" outlineLevel="0" collapsed="false">
      <c r="A36" s="7" t="n">
        <v>33</v>
      </c>
      <c r="B36" s="7" t="n">
        <v>12</v>
      </c>
      <c r="C36" s="8" t="s">
        <v>154</v>
      </c>
      <c r="D36" s="9"/>
      <c r="E36" s="9"/>
      <c r="F36" s="27"/>
      <c r="G36" s="9" t="s">
        <v>285</v>
      </c>
      <c r="H36" s="9" t="s">
        <v>286</v>
      </c>
      <c r="I36" s="21" t="n">
        <v>5.71</v>
      </c>
      <c r="J36" s="9"/>
      <c r="K36" s="9" t="s">
        <v>225</v>
      </c>
      <c r="L36" s="9" t="s">
        <v>205</v>
      </c>
    </row>
    <row r="37" customFormat="false" ht="15" hidden="false" customHeight="false" outlineLevel="0" collapsed="false">
      <c r="A37" s="7" t="n">
        <v>34</v>
      </c>
      <c r="B37" s="7" t="n">
        <v>12</v>
      </c>
      <c r="C37" s="8" t="s">
        <v>147</v>
      </c>
      <c r="D37" s="9"/>
      <c r="E37" s="9"/>
      <c r="F37" s="27"/>
      <c r="G37" s="9" t="s">
        <v>287</v>
      </c>
      <c r="H37" s="9" t="s">
        <v>230</v>
      </c>
      <c r="I37" s="21" t="n">
        <v>4.5</v>
      </c>
      <c r="J37" s="9"/>
      <c r="K37" s="9" t="s">
        <v>288</v>
      </c>
      <c r="L37" s="9" t="s">
        <v>205</v>
      </c>
    </row>
    <row r="38" customFormat="false" ht="15" hidden="false" customHeight="false" outlineLevel="0" collapsed="false">
      <c r="A38" s="7" t="n">
        <v>35</v>
      </c>
      <c r="B38" s="7" t="n">
        <v>12</v>
      </c>
      <c r="C38" s="8" t="s">
        <v>150</v>
      </c>
      <c r="D38" s="9"/>
      <c r="E38" s="9"/>
      <c r="F38" s="27"/>
      <c r="G38" s="9" t="s">
        <v>289</v>
      </c>
      <c r="H38" s="9" t="s">
        <v>290</v>
      </c>
      <c r="I38" s="21" t="n">
        <v>4.2</v>
      </c>
      <c r="J38" s="9"/>
      <c r="K38" s="9"/>
      <c r="L38" s="9" t="s">
        <v>205</v>
      </c>
    </row>
    <row r="39" customFormat="false" ht="15" hidden="false" customHeight="false" outlineLevel="0" collapsed="false">
      <c r="A39" s="7" t="n">
        <v>36</v>
      </c>
      <c r="B39" s="7" t="n">
        <v>12</v>
      </c>
      <c r="C39" s="8" t="s">
        <v>291</v>
      </c>
      <c r="D39" s="9"/>
      <c r="E39" s="9"/>
      <c r="F39" s="27"/>
      <c r="G39" s="9" t="s">
        <v>292</v>
      </c>
      <c r="H39" s="9" t="s">
        <v>293</v>
      </c>
      <c r="I39" s="21" t="n">
        <v>4.56</v>
      </c>
      <c r="J39" s="9"/>
      <c r="K39" s="9"/>
      <c r="L39" s="9" t="s">
        <v>205</v>
      </c>
    </row>
    <row r="40" customFormat="false" ht="15" hidden="false" customHeight="false" outlineLevel="0" collapsed="false">
      <c r="A40" s="7" t="n">
        <v>37</v>
      </c>
      <c r="B40" s="7" t="n">
        <v>13</v>
      </c>
      <c r="C40" s="8" t="s">
        <v>294</v>
      </c>
      <c r="D40" s="9" t="s">
        <v>259</v>
      </c>
      <c r="E40" s="9" t="s">
        <v>295</v>
      </c>
      <c r="F40" s="21" t="n">
        <v>4</v>
      </c>
      <c r="G40" s="9" t="s">
        <v>296</v>
      </c>
      <c r="H40" s="9" t="s">
        <v>297</v>
      </c>
      <c r="I40" s="21" t="n">
        <v>5.3</v>
      </c>
      <c r="J40" s="9"/>
      <c r="K40" s="9"/>
      <c r="L40" s="9" t="s">
        <v>205</v>
      </c>
    </row>
    <row r="41" customFormat="false" ht="15" hidden="false" customHeight="false" outlineLevel="0" collapsed="false">
      <c r="A41" s="7" t="n">
        <v>38</v>
      </c>
      <c r="B41" s="7" t="n">
        <v>13</v>
      </c>
      <c r="C41" s="8" t="s">
        <v>236</v>
      </c>
      <c r="D41" s="9"/>
      <c r="E41" s="9" t="s">
        <v>72</v>
      </c>
      <c r="F41" s="21" t="n">
        <v>4.5</v>
      </c>
      <c r="G41" s="9" t="s">
        <v>202</v>
      </c>
      <c r="H41" s="9" t="s">
        <v>210</v>
      </c>
      <c r="I41" s="21" t="n">
        <v>5.7</v>
      </c>
      <c r="J41" s="9"/>
      <c r="K41" s="9"/>
      <c r="L41" s="9" t="s">
        <v>205</v>
      </c>
    </row>
    <row r="42" customFormat="false" ht="15" hidden="false" customHeight="false" outlineLevel="0" collapsed="false">
      <c r="A42" s="7" t="n">
        <v>39</v>
      </c>
      <c r="B42" s="7" t="n">
        <v>13</v>
      </c>
      <c r="C42" s="8" t="s">
        <v>56</v>
      </c>
      <c r="D42" s="9"/>
      <c r="E42" s="9" t="s">
        <v>243</v>
      </c>
      <c r="F42" s="21" t="n">
        <v>3</v>
      </c>
      <c r="G42" s="9" t="s">
        <v>244</v>
      </c>
      <c r="H42" s="9" t="s">
        <v>245</v>
      </c>
      <c r="I42" s="21" t="n">
        <v>5</v>
      </c>
      <c r="J42" s="9"/>
      <c r="K42" s="9"/>
      <c r="L42" s="9" t="s">
        <v>205</v>
      </c>
    </row>
    <row r="43" customFormat="false" ht="15" hidden="false" customHeight="false" outlineLevel="0" collapsed="false">
      <c r="A43" s="7" t="n">
        <v>40</v>
      </c>
      <c r="B43" s="7" t="n">
        <v>13</v>
      </c>
      <c r="C43" s="8" t="s">
        <v>298</v>
      </c>
      <c r="D43" s="9"/>
      <c r="E43" s="9" t="s">
        <v>243</v>
      </c>
      <c r="F43" s="21" t="n">
        <v>3</v>
      </c>
      <c r="G43" s="9" t="s">
        <v>244</v>
      </c>
      <c r="H43" s="9" t="s">
        <v>245</v>
      </c>
      <c r="I43" s="21" t="n">
        <v>4.7</v>
      </c>
      <c r="J43" s="9"/>
      <c r="K43" s="9"/>
      <c r="L43" s="9" t="s">
        <v>205</v>
      </c>
    </row>
    <row r="44" customFormat="false" ht="15" hidden="false" customHeight="false" outlineLevel="0" collapsed="false">
      <c r="A44" s="7" t="n">
        <v>41</v>
      </c>
      <c r="B44" s="7" t="n">
        <v>14</v>
      </c>
      <c r="C44" s="8" t="s">
        <v>144</v>
      </c>
      <c r="D44" s="9"/>
      <c r="E44" s="9"/>
      <c r="F44" s="27"/>
      <c r="G44" s="9" t="s">
        <v>299</v>
      </c>
      <c r="H44" s="9" t="s">
        <v>300</v>
      </c>
      <c r="I44" s="21" t="n">
        <v>5.1</v>
      </c>
      <c r="J44" s="9"/>
      <c r="K44" s="9"/>
      <c r="L44" s="9" t="s">
        <v>205</v>
      </c>
    </row>
    <row r="45" customFormat="false" ht="15" hidden="false" customHeight="false" outlineLevel="0" collapsed="false">
      <c r="A45" s="7" t="n">
        <v>42</v>
      </c>
      <c r="B45" s="7" t="n">
        <v>14</v>
      </c>
      <c r="C45" s="8" t="s">
        <v>136</v>
      </c>
      <c r="D45" s="9"/>
      <c r="E45" s="9"/>
      <c r="F45" s="27"/>
      <c r="G45" s="9" t="s">
        <v>285</v>
      </c>
      <c r="H45" s="9" t="s">
        <v>301</v>
      </c>
      <c r="I45" s="21" t="n">
        <v>4.3</v>
      </c>
      <c r="J45" s="9"/>
      <c r="K45" s="9"/>
      <c r="L45" s="9" t="s">
        <v>205</v>
      </c>
    </row>
    <row r="46" customFormat="false" ht="15" hidden="false" customHeight="false" outlineLevel="0" collapsed="false">
      <c r="A46" s="7" t="n">
        <v>43</v>
      </c>
      <c r="B46" s="7" t="n">
        <v>14</v>
      </c>
      <c r="C46" s="8" t="s">
        <v>199</v>
      </c>
      <c r="D46" s="9" t="s">
        <v>302</v>
      </c>
      <c r="E46" s="9" t="s">
        <v>303</v>
      </c>
      <c r="F46" s="21" t="n">
        <v>5</v>
      </c>
      <c r="G46" s="9" t="s">
        <v>202</v>
      </c>
      <c r="H46" s="9" t="s">
        <v>304</v>
      </c>
      <c r="I46" s="21" t="n">
        <v>5.2</v>
      </c>
      <c r="J46" s="9"/>
      <c r="K46" s="9"/>
      <c r="L46" s="9" t="s">
        <v>205</v>
      </c>
    </row>
    <row r="47" customFormat="false" ht="22.35" hidden="false" customHeight="false" outlineLevel="0" collapsed="false">
      <c r="A47" s="22" t="n">
        <v>44</v>
      </c>
      <c r="B47" s="22" t="n">
        <v>14</v>
      </c>
      <c r="C47" s="23" t="s">
        <v>305</v>
      </c>
      <c r="D47" s="24"/>
      <c r="E47" s="24" t="s">
        <v>303</v>
      </c>
      <c r="F47" s="25" t="n">
        <v>5</v>
      </c>
      <c r="G47" s="24" t="s">
        <v>202</v>
      </c>
      <c r="H47" s="24"/>
      <c r="I47" s="26"/>
      <c r="J47" s="24"/>
      <c r="K47" s="24"/>
      <c r="L47" s="24" t="s">
        <v>208</v>
      </c>
    </row>
    <row r="48" customFormat="false" ht="15" hidden="false" customHeight="false" outlineLevel="0" collapsed="false">
      <c r="A48" s="7" t="n">
        <v>45</v>
      </c>
      <c r="B48" s="7" t="n">
        <v>15</v>
      </c>
      <c r="C48" s="8" t="s">
        <v>306</v>
      </c>
      <c r="D48" s="9"/>
      <c r="E48" s="9" t="s">
        <v>243</v>
      </c>
      <c r="F48" s="21" t="n">
        <v>3</v>
      </c>
      <c r="G48" s="9" t="s">
        <v>244</v>
      </c>
      <c r="H48" s="9" t="s">
        <v>245</v>
      </c>
      <c r="I48" s="21" t="n">
        <v>5.2</v>
      </c>
      <c r="J48" s="9"/>
      <c r="K48" s="9"/>
      <c r="L48" s="9" t="s">
        <v>205</v>
      </c>
    </row>
    <row r="49" customFormat="false" ht="15" hidden="false" customHeight="false" outlineLevel="0" collapsed="false">
      <c r="A49" s="7" t="n">
        <v>46</v>
      </c>
      <c r="B49" s="7" t="n">
        <v>15</v>
      </c>
      <c r="C49" s="8" t="s">
        <v>307</v>
      </c>
      <c r="D49" s="9"/>
      <c r="E49" s="9"/>
      <c r="F49" s="27"/>
      <c r="G49" s="9" t="s">
        <v>308</v>
      </c>
      <c r="H49" s="9" t="s">
        <v>309</v>
      </c>
      <c r="I49" s="21" t="n">
        <v>5.9</v>
      </c>
      <c r="J49" s="9"/>
      <c r="K49" s="9"/>
      <c r="L49" s="9" t="s">
        <v>205</v>
      </c>
    </row>
    <row r="50" customFormat="false" ht="15" hidden="false" customHeight="false" outlineLevel="0" collapsed="false">
      <c r="A50" s="7" t="n">
        <v>47</v>
      </c>
      <c r="B50" s="7" t="n">
        <v>15</v>
      </c>
      <c r="C50" s="8" t="s">
        <v>211</v>
      </c>
      <c r="D50" s="9"/>
      <c r="E50" s="9" t="s">
        <v>77</v>
      </c>
      <c r="F50" s="21" t="n">
        <v>1</v>
      </c>
      <c r="G50" s="9" t="s">
        <v>310</v>
      </c>
      <c r="H50" s="9" t="s">
        <v>311</v>
      </c>
      <c r="I50" s="21" t="n">
        <v>6.1</v>
      </c>
      <c r="J50" s="9"/>
      <c r="K50" s="9" t="s">
        <v>225</v>
      </c>
      <c r="L50" s="9" t="s">
        <v>205</v>
      </c>
    </row>
    <row r="51" customFormat="false" ht="15" hidden="false" customHeight="false" outlineLevel="0" collapsed="false">
      <c r="A51" s="7" t="n">
        <v>48</v>
      </c>
      <c r="B51" s="7" t="n">
        <v>15</v>
      </c>
      <c r="C51" s="8" t="s">
        <v>312</v>
      </c>
      <c r="D51" s="9"/>
      <c r="E51" s="9" t="s">
        <v>313</v>
      </c>
      <c r="F51" s="21" t="n">
        <v>4.5</v>
      </c>
      <c r="G51" s="9" t="s">
        <v>314</v>
      </c>
      <c r="H51" s="9"/>
      <c r="I51" s="21" t="n">
        <v>4.8</v>
      </c>
      <c r="J51" s="9"/>
      <c r="K51" s="9"/>
      <c r="L51" s="9" t="s">
        <v>205</v>
      </c>
    </row>
    <row r="52" customFormat="false" ht="15" hidden="false" customHeight="false" outlineLevel="0" collapsed="false">
      <c r="A52" s="7" t="n">
        <v>49</v>
      </c>
      <c r="B52" s="7" t="n">
        <v>16</v>
      </c>
      <c r="C52" s="8" t="s">
        <v>199</v>
      </c>
      <c r="D52" s="9" t="s">
        <v>315</v>
      </c>
      <c r="E52" s="9" t="s">
        <v>72</v>
      </c>
      <c r="F52" s="21" t="n">
        <v>4.5</v>
      </c>
      <c r="G52" s="9" t="s">
        <v>202</v>
      </c>
      <c r="H52" s="9" t="s">
        <v>210</v>
      </c>
      <c r="I52" s="21" t="n">
        <v>6</v>
      </c>
      <c r="J52" s="9"/>
      <c r="K52" s="9"/>
      <c r="L52" s="9" t="s">
        <v>205</v>
      </c>
    </row>
    <row r="53" customFormat="false" ht="15" hidden="false" customHeight="false" outlineLevel="0" collapsed="false">
      <c r="A53" s="7" t="n">
        <v>50</v>
      </c>
      <c r="B53" s="7" t="n">
        <v>16</v>
      </c>
      <c r="C53" s="8" t="s">
        <v>211</v>
      </c>
      <c r="D53" s="9"/>
      <c r="E53" s="9" t="s">
        <v>255</v>
      </c>
      <c r="F53" s="21" t="n">
        <v>3</v>
      </c>
      <c r="G53" s="9" t="s">
        <v>316</v>
      </c>
      <c r="H53" s="9" t="s">
        <v>257</v>
      </c>
      <c r="I53" s="21" t="n">
        <v>5.2</v>
      </c>
      <c r="J53" s="9"/>
      <c r="K53" s="9"/>
      <c r="L53" s="9" t="s">
        <v>205</v>
      </c>
    </row>
    <row r="54" customFormat="false" ht="15" hidden="false" customHeight="false" outlineLevel="0" collapsed="false">
      <c r="A54" s="7" t="n">
        <v>51</v>
      </c>
      <c r="B54" s="7" t="n">
        <v>16</v>
      </c>
      <c r="C54" s="8" t="s">
        <v>211</v>
      </c>
      <c r="D54" s="9"/>
      <c r="E54" s="9" t="s">
        <v>255</v>
      </c>
      <c r="F54" s="21" t="n">
        <v>3</v>
      </c>
      <c r="G54" s="9" t="s">
        <v>252</v>
      </c>
      <c r="H54" s="9" t="s">
        <v>257</v>
      </c>
      <c r="I54" s="21" t="n">
        <v>5.2</v>
      </c>
      <c r="J54" s="9"/>
      <c r="K54" s="9" t="s">
        <v>317</v>
      </c>
      <c r="L54" s="9" t="s">
        <v>205</v>
      </c>
    </row>
    <row r="55" customFormat="false" ht="15" hidden="false" customHeight="false" outlineLevel="0" collapsed="false">
      <c r="A55" s="22" t="n">
        <v>52</v>
      </c>
      <c r="B55" s="22" t="n">
        <v>16</v>
      </c>
      <c r="C55" s="23" t="s">
        <v>318</v>
      </c>
      <c r="D55" s="24"/>
      <c r="E55" s="24"/>
      <c r="F55" s="26"/>
      <c r="G55" s="24" t="s">
        <v>319</v>
      </c>
      <c r="H55" s="24"/>
      <c r="I55" s="26"/>
      <c r="J55" s="24"/>
      <c r="K55" s="24"/>
      <c r="L55" s="24" t="s">
        <v>320</v>
      </c>
    </row>
    <row r="56" customFormat="false" ht="15" hidden="false" customHeight="false" outlineLevel="0" collapsed="false">
      <c r="A56" s="7" t="n">
        <v>53</v>
      </c>
      <c r="B56" s="7" t="n">
        <v>17</v>
      </c>
      <c r="C56" s="8" t="s">
        <v>321</v>
      </c>
      <c r="D56" s="9"/>
      <c r="E56" s="9" t="s">
        <v>313</v>
      </c>
      <c r="F56" s="27"/>
      <c r="G56" s="9" t="s">
        <v>314</v>
      </c>
      <c r="H56" s="9" t="s">
        <v>322</v>
      </c>
      <c r="I56" s="21" t="n">
        <v>4.6</v>
      </c>
      <c r="J56" s="9"/>
      <c r="K56" s="9" t="s">
        <v>323</v>
      </c>
      <c r="L56" s="9" t="s">
        <v>205</v>
      </c>
    </row>
    <row r="57" customFormat="false" ht="15" hidden="false" customHeight="false" outlineLevel="0" collapsed="false">
      <c r="A57" s="7" t="n">
        <v>54</v>
      </c>
      <c r="B57" s="7" t="n">
        <v>17</v>
      </c>
      <c r="C57" s="8" t="s">
        <v>324</v>
      </c>
      <c r="D57" s="9"/>
      <c r="E57" s="9"/>
      <c r="F57" s="21" t="n">
        <v>3.5</v>
      </c>
      <c r="G57" s="9" t="s">
        <v>325</v>
      </c>
      <c r="H57" s="9" t="s">
        <v>326</v>
      </c>
      <c r="I57" s="21" t="n">
        <v>4.9</v>
      </c>
      <c r="J57" s="9"/>
      <c r="K57" s="9" t="s">
        <v>327</v>
      </c>
      <c r="L57" s="9" t="s">
        <v>205</v>
      </c>
    </row>
    <row r="58" customFormat="false" ht="15" hidden="false" customHeight="false" outlineLevel="0" collapsed="false">
      <c r="A58" s="22" t="n">
        <v>55</v>
      </c>
      <c r="B58" s="22" t="n">
        <v>17</v>
      </c>
      <c r="C58" s="23" t="s">
        <v>328</v>
      </c>
      <c r="D58" s="24"/>
      <c r="E58" s="24"/>
      <c r="F58" s="26"/>
      <c r="G58" s="24" t="s">
        <v>329</v>
      </c>
      <c r="H58" s="24"/>
      <c r="I58" s="26"/>
      <c r="J58" s="24"/>
      <c r="K58" s="24"/>
      <c r="L58" s="24" t="s">
        <v>320</v>
      </c>
    </row>
    <row r="59" customFormat="false" ht="15" hidden="false" customHeight="false" outlineLevel="0" collapsed="false">
      <c r="A59" s="7" t="n">
        <v>56</v>
      </c>
      <c r="B59" s="7" t="n">
        <v>17</v>
      </c>
      <c r="C59" s="8" t="s">
        <v>330</v>
      </c>
      <c r="D59" s="9"/>
      <c r="E59" s="9" t="s">
        <v>331</v>
      </c>
      <c r="F59" s="27"/>
      <c r="G59" s="9" t="s">
        <v>332</v>
      </c>
      <c r="H59" s="9" t="s">
        <v>333</v>
      </c>
      <c r="I59" s="21" t="n">
        <v>5</v>
      </c>
      <c r="J59" s="9"/>
      <c r="K59" s="9"/>
      <c r="L59" s="9" t="s">
        <v>205</v>
      </c>
    </row>
    <row r="60" customFormat="false" ht="15" hidden="false" customHeight="false" outlineLevel="0" collapsed="false">
      <c r="A60" s="7" t="n">
        <v>57</v>
      </c>
      <c r="B60" s="7" t="n">
        <v>18</v>
      </c>
      <c r="C60" s="8" t="s">
        <v>334</v>
      </c>
      <c r="D60" s="9"/>
      <c r="E60" s="9"/>
      <c r="F60" s="21" t="n">
        <v>4</v>
      </c>
      <c r="G60" s="9" t="s">
        <v>335</v>
      </c>
      <c r="H60" s="9" t="s">
        <v>336</v>
      </c>
      <c r="I60" s="21" t="n">
        <v>5.2</v>
      </c>
      <c r="J60" s="9"/>
      <c r="K60" s="9" t="s">
        <v>337</v>
      </c>
      <c r="L60" s="9" t="s">
        <v>205</v>
      </c>
    </row>
    <row r="61" customFormat="false" ht="15" hidden="false" customHeight="false" outlineLevel="0" collapsed="false">
      <c r="A61" s="7" t="n">
        <v>58</v>
      </c>
      <c r="B61" s="7" t="n">
        <v>18</v>
      </c>
      <c r="C61" s="8" t="s">
        <v>338</v>
      </c>
      <c r="D61" s="9"/>
      <c r="E61" s="9"/>
      <c r="F61" s="21" t="n">
        <v>4</v>
      </c>
      <c r="G61" s="9" t="s">
        <v>339</v>
      </c>
      <c r="H61" s="9" t="s">
        <v>340</v>
      </c>
      <c r="I61" s="21" t="n">
        <v>5.8</v>
      </c>
      <c r="J61" s="9"/>
      <c r="K61" s="9"/>
      <c r="L61" s="9" t="s">
        <v>205</v>
      </c>
    </row>
    <row r="62" customFormat="false" ht="15" hidden="false" customHeight="false" outlineLevel="0" collapsed="false">
      <c r="A62" s="7" t="n">
        <v>59</v>
      </c>
      <c r="B62" s="7" t="n">
        <v>18</v>
      </c>
      <c r="C62" s="8" t="s">
        <v>341</v>
      </c>
      <c r="D62" s="9"/>
      <c r="E62" s="9"/>
      <c r="F62" s="21" t="n">
        <v>3.5</v>
      </c>
      <c r="G62" s="9" t="s">
        <v>202</v>
      </c>
      <c r="H62" s="9" t="s">
        <v>342</v>
      </c>
      <c r="I62" s="21" t="n">
        <v>4</v>
      </c>
      <c r="J62" s="9"/>
      <c r="K62" s="9"/>
      <c r="L62" s="9" t="s">
        <v>205</v>
      </c>
    </row>
    <row r="63" customFormat="false" ht="15" hidden="false" customHeight="false" outlineLevel="0" collapsed="false">
      <c r="A63" s="7" t="n">
        <v>60</v>
      </c>
      <c r="B63" s="7" t="n">
        <v>18</v>
      </c>
      <c r="C63" s="8" t="s">
        <v>343</v>
      </c>
      <c r="D63" s="9"/>
      <c r="E63" s="9"/>
      <c r="F63" s="27"/>
      <c r="G63" s="9" t="s">
        <v>202</v>
      </c>
      <c r="H63" s="9"/>
      <c r="I63" s="21" t="n">
        <v>6.4</v>
      </c>
      <c r="J63" s="9"/>
      <c r="K63" s="9" t="s">
        <v>344</v>
      </c>
      <c r="L63" s="9" t="s">
        <v>205</v>
      </c>
    </row>
    <row r="64" customFormat="false" ht="15" hidden="false" customHeight="false" outlineLevel="0" collapsed="false">
      <c r="A64" s="7" t="n">
        <v>61</v>
      </c>
      <c r="B64" s="7" t="n">
        <v>19</v>
      </c>
      <c r="C64" s="8" t="s">
        <v>129</v>
      </c>
      <c r="D64" s="9"/>
      <c r="E64" s="9"/>
      <c r="F64" s="21" t="n">
        <v>4.5</v>
      </c>
      <c r="G64" s="9" t="s">
        <v>285</v>
      </c>
      <c r="H64" s="9" t="s">
        <v>333</v>
      </c>
      <c r="I64" s="21" t="n">
        <v>4.9</v>
      </c>
      <c r="J64" s="9"/>
      <c r="K64" s="9"/>
      <c r="L64" s="9" t="s">
        <v>205</v>
      </c>
    </row>
    <row r="65" customFormat="false" ht="15" hidden="false" customHeight="false" outlineLevel="0" collapsed="false">
      <c r="A65" s="7" t="n">
        <v>62</v>
      </c>
      <c r="B65" s="7" t="n">
        <v>19</v>
      </c>
      <c r="C65" s="8" t="s">
        <v>132</v>
      </c>
      <c r="D65" s="9"/>
      <c r="E65" s="9"/>
      <c r="F65" s="21" t="n">
        <v>4.5</v>
      </c>
      <c r="G65" s="9" t="s">
        <v>285</v>
      </c>
      <c r="H65" s="9" t="s">
        <v>333</v>
      </c>
      <c r="I65" s="21" t="n">
        <v>4.9</v>
      </c>
      <c r="J65" s="9"/>
      <c r="K65" s="9" t="s">
        <v>345</v>
      </c>
      <c r="L65" s="9" t="s">
        <v>205</v>
      </c>
    </row>
    <row r="66" customFormat="false" ht="15" hidden="false" customHeight="false" outlineLevel="0" collapsed="false">
      <c r="A66" s="7" t="n">
        <v>63</v>
      </c>
      <c r="B66" s="7" t="n">
        <v>19</v>
      </c>
      <c r="C66" s="8" t="s">
        <v>138</v>
      </c>
      <c r="D66" s="9"/>
      <c r="E66" s="9"/>
      <c r="F66" s="27"/>
      <c r="G66" s="9" t="s">
        <v>285</v>
      </c>
      <c r="H66" s="9" t="s">
        <v>346</v>
      </c>
      <c r="I66" s="21" t="n">
        <v>4.6</v>
      </c>
      <c r="J66" s="9"/>
      <c r="K66" s="9"/>
      <c r="L66" s="9" t="s">
        <v>205</v>
      </c>
    </row>
    <row r="67" customFormat="false" ht="15" hidden="false" customHeight="false" outlineLevel="0" collapsed="false">
      <c r="A67" s="7" t="n">
        <v>64</v>
      </c>
      <c r="B67" s="7" t="n">
        <v>19</v>
      </c>
      <c r="C67" s="8" t="s">
        <v>140</v>
      </c>
      <c r="D67" s="9"/>
      <c r="E67" s="9"/>
      <c r="F67" s="27"/>
      <c r="G67" s="9" t="s">
        <v>244</v>
      </c>
      <c r="H67" s="9" t="s">
        <v>347</v>
      </c>
      <c r="I67" s="21" t="n">
        <v>4.9</v>
      </c>
      <c r="J67" s="9"/>
      <c r="K67" s="9"/>
      <c r="L67" s="9" t="s">
        <v>205</v>
      </c>
    </row>
    <row r="68" customFormat="false" ht="15" hidden="false" customHeight="false" outlineLevel="0" collapsed="false">
      <c r="A68" s="7" t="n">
        <v>65</v>
      </c>
      <c r="B68" s="7" t="n">
        <v>20</v>
      </c>
      <c r="C68" s="8" t="s">
        <v>348</v>
      </c>
      <c r="D68" s="9"/>
      <c r="E68" s="9"/>
      <c r="F68" s="27"/>
      <c r="G68" s="9" t="s">
        <v>349</v>
      </c>
      <c r="H68" s="9" t="s">
        <v>350</v>
      </c>
      <c r="I68" s="21" t="n">
        <v>4.8</v>
      </c>
      <c r="J68" s="9"/>
      <c r="K68" s="9"/>
      <c r="L68" s="9" t="s">
        <v>205</v>
      </c>
    </row>
    <row r="69" customFormat="false" ht="15" hidden="false" customHeight="false" outlineLevel="0" collapsed="false">
      <c r="A69" s="7" t="n">
        <v>66</v>
      </c>
      <c r="B69" s="7" t="n">
        <v>20</v>
      </c>
      <c r="C69" s="8" t="s">
        <v>122</v>
      </c>
      <c r="D69" s="9"/>
      <c r="E69" s="9"/>
      <c r="F69" s="27"/>
      <c r="G69" s="9" t="s">
        <v>351</v>
      </c>
      <c r="H69" s="9" t="s">
        <v>352</v>
      </c>
      <c r="I69" s="21" t="n">
        <v>4.6</v>
      </c>
      <c r="J69" s="9"/>
      <c r="K69" s="9"/>
      <c r="L69" s="9" t="s">
        <v>205</v>
      </c>
    </row>
    <row r="70" customFormat="false" ht="15" hidden="false" customHeight="false" outlineLevel="0" collapsed="false">
      <c r="A70" s="7" t="n">
        <v>67</v>
      </c>
      <c r="B70" s="7" t="n">
        <v>20</v>
      </c>
      <c r="C70" s="8" t="s">
        <v>353</v>
      </c>
      <c r="D70" s="9"/>
      <c r="E70" s="9"/>
      <c r="F70" s="21" t="n">
        <v>4</v>
      </c>
      <c r="G70" s="9" t="s">
        <v>285</v>
      </c>
      <c r="H70" s="9" t="s">
        <v>354</v>
      </c>
      <c r="I70" s="21" t="n">
        <v>4.9</v>
      </c>
      <c r="J70" s="9"/>
      <c r="K70" s="9"/>
      <c r="L70" s="9" t="s">
        <v>205</v>
      </c>
    </row>
    <row r="71" customFormat="false" ht="15" hidden="false" customHeight="false" outlineLevel="0" collapsed="false">
      <c r="A71" s="7" t="n">
        <v>68</v>
      </c>
      <c r="B71" s="7" t="n">
        <v>20</v>
      </c>
      <c r="C71" s="8" t="s">
        <v>174</v>
      </c>
      <c r="D71" s="9"/>
      <c r="E71" s="9"/>
      <c r="F71" s="27"/>
      <c r="G71" s="9" t="s">
        <v>202</v>
      </c>
      <c r="H71" s="9" t="s">
        <v>355</v>
      </c>
      <c r="I71" s="21" t="n">
        <v>5.9</v>
      </c>
      <c r="J71" s="9"/>
      <c r="K71" s="9"/>
      <c r="L71" s="9" t="s">
        <v>205</v>
      </c>
    </row>
    <row r="72" customFormat="false" ht="15" hidden="false" customHeight="false" outlineLevel="0" collapsed="false">
      <c r="A72" s="7" t="n">
        <v>69</v>
      </c>
      <c r="B72" s="7" t="n">
        <v>21</v>
      </c>
      <c r="C72" s="8" t="s">
        <v>356</v>
      </c>
      <c r="D72" s="9"/>
      <c r="E72" s="9"/>
      <c r="F72" s="21" t="n">
        <v>4</v>
      </c>
      <c r="G72" s="9" t="s">
        <v>357</v>
      </c>
      <c r="H72" s="9" t="s">
        <v>218</v>
      </c>
      <c r="I72" s="21" t="n">
        <v>4.6</v>
      </c>
      <c r="J72" s="9"/>
      <c r="K72" s="9"/>
      <c r="L72" s="9" t="s">
        <v>205</v>
      </c>
    </row>
    <row r="73" customFormat="false" ht="15" hidden="false" customHeight="false" outlineLevel="0" collapsed="false">
      <c r="A73" s="7" t="n">
        <v>70</v>
      </c>
      <c r="B73" s="7" t="n">
        <v>21</v>
      </c>
      <c r="C73" s="8" t="s">
        <v>358</v>
      </c>
      <c r="D73" s="9"/>
      <c r="E73" s="9"/>
      <c r="F73" s="21" t="n">
        <v>4</v>
      </c>
      <c r="G73" s="9" t="s">
        <v>357</v>
      </c>
      <c r="H73" s="9" t="s">
        <v>218</v>
      </c>
      <c r="I73" s="21" t="n">
        <v>4.6</v>
      </c>
      <c r="J73" s="9"/>
      <c r="K73" s="9" t="s">
        <v>359</v>
      </c>
      <c r="L73" s="9" t="s">
        <v>205</v>
      </c>
    </row>
    <row r="74" customFormat="false" ht="15" hidden="false" customHeight="false" outlineLevel="0" collapsed="false">
      <c r="A74" s="7" t="n">
        <v>71</v>
      </c>
      <c r="B74" s="7" t="n">
        <v>21</v>
      </c>
      <c r="C74" s="8" t="s">
        <v>199</v>
      </c>
      <c r="D74" s="9" t="s">
        <v>61</v>
      </c>
      <c r="E74" s="9" t="s">
        <v>47</v>
      </c>
      <c r="F74" s="21" t="n">
        <v>3</v>
      </c>
      <c r="G74" s="9" t="s">
        <v>202</v>
      </c>
      <c r="H74" s="9"/>
      <c r="I74" s="21" t="n">
        <v>3.5</v>
      </c>
      <c r="J74" s="9"/>
      <c r="K74" s="9"/>
      <c r="L74" s="9" t="s">
        <v>205</v>
      </c>
    </row>
    <row r="75" customFormat="false" ht="15" hidden="false" customHeight="false" outlineLevel="0" collapsed="false">
      <c r="A75" s="7" t="n">
        <v>72</v>
      </c>
      <c r="B75" s="7" t="n">
        <v>21</v>
      </c>
      <c r="C75" s="8" t="s">
        <v>55</v>
      </c>
      <c r="D75" s="9"/>
      <c r="E75" s="9" t="s">
        <v>360</v>
      </c>
      <c r="F75" s="21" t="n">
        <v>3</v>
      </c>
      <c r="G75" s="9" t="s">
        <v>252</v>
      </c>
      <c r="H75" s="9" t="s">
        <v>361</v>
      </c>
      <c r="I75" s="27"/>
      <c r="J75" s="9" t="s">
        <v>362</v>
      </c>
      <c r="K75" s="9"/>
      <c r="L75" s="9" t="s">
        <v>205</v>
      </c>
    </row>
    <row r="76" customFormat="false" ht="15" hidden="false" customHeight="false" outlineLevel="0" collapsed="false">
      <c r="A76" s="7" t="n">
        <v>73</v>
      </c>
      <c r="B76" s="7" t="n">
        <v>22</v>
      </c>
      <c r="C76" s="8" t="s">
        <v>363</v>
      </c>
      <c r="D76" s="9"/>
      <c r="E76" s="9"/>
      <c r="F76" s="27"/>
      <c r="G76" s="9" t="s">
        <v>202</v>
      </c>
      <c r="H76" s="9" t="s">
        <v>364</v>
      </c>
      <c r="I76" s="21" t="n">
        <v>6</v>
      </c>
      <c r="J76" s="9"/>
      <c r="K76" s="9"/>
      <c r="L76" s="9" t="s">
        <v>205</v>
      </c>
    </row>
    <row r="77" customFormat="false" ht="15" hidden="false" customHeight="false" outlineLevel="0" collapsed="false">
      <c r="A77" s="7" t="n">
        <v>74</v>
      </c>
      <c r="B77" s="7" t="n">
        <v>22</v>
      </c>
      <c r="C77" s="8" t="s">
        <v>60</v>
      </c>
      <c r="D77" s="9"/>
      <c r="E77" s="9" t="s">
        <v>47</v>
      </c>
      <c r="F77" s="21" t="n">
        <v>3</v>
      </c>
      <c r="G77" s="9" t="s">
        <v>202</v>
      </c>
      <c r="H77" s="9" t="s">
        <v>207</v>
      </c>
      <c r="I77" s="21" t="n">
        <v>3.8</v>
      </c>
      <c r="J77" s="9"/>
      <c r="K77" s="9"/>
      <c r="L77" s="9" t="s">
        <v>205</v>
      </c>
    </row>
    <row r="78" customFormat="false" ht="15" hidden="false" customHeight="false" outlineLevel="0" collapsed="false">
      <c r="A78" s="7" t="n">
        <v>75</v>
      </c>
      <c r="B78" s="7" t="n">
        <v>22</v>
      </c>
      <c r="C78" s="8" t="s">
        <v>365</v>
      </c>
      <c r="D78" s="9"/>
      <c r="E78" s="9" t="s">
        <v>47</v>
      </c>
      <c r="F78" s="21" t="n">
        <v>3</v>
      </c>
      <c r="G78" s="9" t="s">
        <v>202</v>
      </c>
      <c r="H78" s="9" t="s">
        <v>207</v>
      </c>
      <c r="I78" s="21" t="n">
        <v>3.6</v>
      </c>
      <c r="J78" s="9"/>
      <c r="K78" s="9"/>
      <c r="L78" s="9" t="s">
        <v>205</v>
      </c>
    </row>
    <row r="79" customFormat="false" ht="15" hidden="false" customHeight="false" outlineLevel="0" collapsed="false">
      <c r="A79" s="7" t="n">
        <v>76</v>
      </c>
      <c r="B79" s="7" t="n">
        <v>22</v>
      </c>
      <c r="C79" s="8" t="s">
        <v>366</v>
      </c>
      <c r="D79" s="9"/>
      <c r="E79" s="9" t="s">
        <v>47</v>
      </c>
      <c r="F79" s="21" t="n">
        <v>3</v>
      </c>
      <c r="G79" s="9" t="s">
        <v>202</v>
      </c>
      <c r="H79" s="9" t="s">
        <v>207</v>
      </c>
      <c r="I79" s="21" t="n">
        <v>4.6</v>
      </c>
      <c r="J79" s="9"/>
      <c r="K79" s="9"/>
      <c r="L79" s="9" t="s">
        <v>205</v>
      </c>
    </row>
    <row r="80" customFormat="false" ht="15" hidden="false" customHeight="false" outlineLevel="0" collapsed="false">
      <c r="A80" s="7" t="n">
        <v>77</v>
      </c>
      <c r="B80" s="7" t="n">
        <v>23</v>
      </c>
      <c r="C80" s="8" t="s">
        <v>64</v>
      </c>
      <c r="D80" s="9"/>
      <c r="E80" s="9" t="s">
        <v>47</v>
      </c>
      <c r="F80" s="21" t="n">
        <v>3</v>
      </c>
      <c r="G80" s="9" t="s">
        <v>202</v>
      </c>
      <c r="H80" s="9" t="s">
        <v>207</v>
      </c>
      <c r="I80" s="21" t="n">
        <v>4.1</v>
      </c>
      <c r="J80" s="9"/>
      <c r="K80" s="9"/>
      <c r="L80" s="9" t="s">
        <v>205</v>
      </c>
    </row>
    <row r="81" customFormat="false" ht="15" hidden="false" customHeight="false" outlineLevel="0" collapsed="false">
      <c r="A81" s="7" t="n">
        <v>78</v>
      </c>
      <c r="B81" s="7" t="n">
        <v>23</v>
      </c>
      <c r="C81" s="8" t="s">
        <v>367</v>
      </c>
      <c r="D81" s="9"/>
      <c r="E81" s="9" t="s">
        <v>47</v>
      </c>
      <c r="F81" s="21" t="n">
        <v>3</v>
      </c>
      <c r="G81" s="9" t="s">
        <v>202</v>
      </c>
      <c r="H81" s="9" t="s">
        <v>207</v>
      </c>
      <c r="I81" s="21" t="n">
        <v>4.1</v>
      </c>
      <c r="J81" s="9"/>
      <c r="K81" s="9" t="s">
        <v>368</v>
      </c>
      <c r="L81" s="9" t="s">
        <v>205</v>
      </c>
    </row>
    <row r="82" customFormat="false" ht="22.35" hidden="false" customHeight="false" outlineLevel="0" collapsed="false">
      <c r="A82" s="22" t="n">
        <v>79</v>
      </c>
      <c r="B82" s="22" t="n">
        <v>23</v>
      </c>
      <c r="C82" s="23" t="s">
        <v>369</v>
      </c>
      <c r="D82" s="24"/>
      <c r="E82" s="24"/>
      <c r="F82" s="26"/>
      <c r="G82" s="24" t="s">
        <v>370</v>
      </c>
      <c r="H82" s="24"/>
      <c r="I82" s="26"/>
      <c r="J82" s="24"/>
      <c r="K82" s="24"/>
      <c r="L82" s="24" t="s">
        <v>208</v>
      </c>
    </row>
    <row r="83" customFormat="false" ht="15" hidden="false" customHeight="false" outlineLevel="0" collapsed="false">
      <c r="A83" s="7" t="n">
        <v>80</v>
      </c>
      <c r="B83" s="7" t="n">
        <v>23</v>
      </c>
      <c r="C83" s="8" t="s">
        <v>371</v>
      </c>
      <c r="D83" s="9"/>
      <c r="E83" s="9" t="s">
        <v>372</v>
      </c>
      <c r="F83" s="21" t="n">
        <v>7</v>
      </c>
      <c r="G83" s="9" t="s">
        <v>373</v>
      </c>
      <c r="H83" s="9" t="s">
        <v>311</v>
      </c>
      <c r="I83" s="21" t="n">
        <v>7.6</v>
      </c>
      <c r="J83" s="9"/>
      <c r="K83" s="9"/>
      <c r="L83" s="9" t="s">
        <v>205</v>
      </c>
    </row>
    <row r="84" customFormat="false" ht="15" hidden="false" customHeight="false" outlineLevel="0" collapsed="false">
      <c r="A84" s="7" t="n">
        <v>81</v>
      </c>
      <c r="B84" s="7" t="n">
        <v>24</v>
      </c>
      <c r="C84" s="8" t="s">
        <v>365</v>
      </c>
      <c r="D84" s="9"/>
      <c r="E84" s="9"/>
      <c r="F84" s="27"/>
      <c r="G84" s="9" t="s">
        <v>202</v>
      </c>
      <c r="H84" s="9" t="s">
        <v>207</v>
      </c>
      <c r="I84" s="21" t="n">
        <v>3.6</v>
      </c>
      <c r="J84" s="9"/>
      <c r="K84" s="9"/>
      <c r="L84" s="9" t="s">
        <v>205</v>
      </c>
    </row>
    <row r="85" customFormat="false" ht="15" hidden="false" customHeight="false" outlineLevel="0" collapsed="false">
      <c r="A85" s="7" t="n">
        <v>82</v>
      </c>
      <c r="B85" s="7" t="n">
        <v>24</v>
      </c>
      <c r="C85" s="8" t="s">
        <v>374</v>
      </c>
      <c r="D85" s="9"/>
      <c r="E85" s="9" t="s">
        <v>375</v>
      </c>
      <c r="F85" s="21" t="n">
        <v>3</v>
      </c>
      <c r="G85" s="9" t="s">
        <v>376</v>
      </c>
      <c r="H85" s="9" t="s">
        <v>377</v>
      </c>
      <c r="I85" s="27"/>
      <c r="J85" s="9"/>
      <c r="K85" s="9"/>
      <c r="L85" s="9" t="s">
        <v>205</v>
      </c>
    </row>
    <row r="86" customFormat="false" ht="15" hidden="false" customHeight="false" outlineLevel="0" collapsed="false">
      <c r="A86" s="7" t="n">
        <v>83</v>
      </c>
      <c r="B86" s="7" t="n">
        <v>24</v>
      </c>
      <c r="C86" s="8" t="s">
        <v>378</v>
      </c>
      <c r="D86" s="9"/>
      <c r="E86" s="9"/>
      <c r="F86" s="27"/>
      <c r="G86" s="9" t="s">
        <v>379</v>
      </c>
      <c r="H86" s="9" t="s">
        <v>380</v>
      </c>
      <c r="I86" s="21" t="n">
        <v>4.9</v>
      </c>
      <c r="J86" s="9"/>
      <c r="K86" s="9"/>
      <c r="L86" s="9" t="s">
        <v>205</v>
      </c>
    </row>
    <row r="87" customFormat="false" ht="15" hidden="false" customHeight="false" outlineLevel="0" collapsed="false">
      <c r="A87" s="7" t="n">
        <v>84</v>
      </c>
      <c r="B87" s="7" t="n">
        <v>24</v>
      </c>
      <c r="C87" s="8" t="s">
        <v>381</v>
      </c>
      <c r="D87" s="9"/>
      <c r="E87" s="9"/>
      <c r="F87" s="27"/>
      <c r="G87" s="9" t="s">
        <v>379</v>
      </c>
      <c r="H87" s="9" t="s">
        <v>380</v>
      </c>
      <c r="I87" s="21" t="n">
        <v>4.9</v>
      </c>
      <c r="J87" s="9"/>
      <c r="K87" s="9" t="s">
        <v>382</v>
      </c>
      <c r="L87" s="9" t="s">
        <v>205</v>
      </c>
    </row>
    <row r="88" customFormat="false" ht="22.35" hidden="false" customHeight="false" outlineLevel="0" collapsed="false">
      <c r="A88" s="7" t="n">
        <v>85</v>
      </c>
      <c r="B88" s="7" t="n">
        <v>25</v>
      </c>
      <c r="C88" s="8" t="s">
        <v>383</v>
      </c>
      <c r="D88" s="9"/>
      <c r="E88" s="9"/>
      <c r="F88" s="21" t="n">
        <v>3</v>
      </c>
      <c r="G88" s="9" t="s">
        <v>384</v>
      </c>
      <c r="H88" s="9" t="s">
        <v>385</v>
      </c>
      <c r="I88" s="21" t="n">
        <v>4.9</v>
      </c>
      <c r="J88" s="9"/>
      <c r="K88" s="9" t="s">
        <v>386</v>
      </c>
      <c r="L88" s="9" t="s">
        <v>205</v>
      </c>
    </row>
    <row r="89" customFormat="false" ht="15" hidden="false" customHeight="false" outlineLevel="0" collapsed="false">
      <c r="A89" s="7" t="n">
        <v>86</v>
      </c>
      <c r="B89" s="7" t="n">
        <v>25</v>
      </c>
      <c r="C89" s="8" t="s">
        <v>383</v>
      </c>
      <c r="D89" s="9"/>
      <c r="E89" s="9"/>
      <c r="F89" s="21" t="n">
        <v>3</v>
      </c>
      <c r="G89" s="9" t="s">
        <v>387</v>
      </c>
      <c r="H89" s="9" t="s">
        <v>385</v>
      </c>
      <c r="I89" s="21" t="n">
        <v>4.9</v>
      </c>
      <c r="J89" s="9"/>
      <c r="K89" s="9" t="s">
        <v>388</v>
      </c>
      <c r="L89" s="9" t="s">
        <v>205</v>
      </c>
    </row>
    <row r="90" customFormat="false" ht="22.35" hidden="false" customHeight="false" outlineLevel="0" collapsed="false">
      <c r="A90" s="22" t="n">
        <v>87</v>
      </c>
      <c r="B90" s="22" t="n">
        <v>25</v>
      </c>
      <c r="C90" s="23" t="s">
        <v>389</v>
      </c>
      <c r="D90" s="24"/>
      <c r="E90" s="24"/>
      <c r="F90" s="26"/>
      <c r="G90" s="24" t="s">
        <v>390</v>
      </c>
      <c r="H90" s="24"/>
      <c r="I90" s="26"/>
      <c r="J90" s="24"/>
      <c r="K90" s="24"/>
      <c r="L90" s="24" t="s">
        <v>208</v>
      </c>
    </row>
    <row r="91" customFormat="false" ht="15" hidden="false" customHeight="false" outlineLevel="0" collapsed="false">
      <c r="A91" s="7" t="n">
        <v>88</v>
      </c>
      <c r="B91" s="7" t="n">
        <v>25</v>
      </c>
      <c r="C91" s="8" t="s">
        <v>391</v>
      </c>
      <c r="D91" s="9"/>
      <c r="E91" s="9"/>
      <c r="F91" s="21" t="n">
        <v>5</v>
      </c>
      <c r="G91" s="9" t="s">
        <v>202</v>
      </c>
      <c r="H91" s="9" t="s">
        <v>364</v>
      </c>
      <c r="I91" s="21" t="n">
        <v>5.72</v>
      </c>
      <c r="J91" s="9"/>
      <c r="K91" s="9" t="s">
        <v>225</v>
      </c>
      <c r="L91" s="9" t="s">
        <v>205</v>
      </c>
    </row>
    <row r="92" customFormat="false" ht="15" hidden="false" customHeight="false" outlineLevel="0" collapsed="false">
      <c r="A92" s="7" t="n">
        <v>89</v>
      </c>
      <c r="B92" s="7" t="n">
        <v>26</v>
      </c>
      <c r="C92" s="8" t="s">
        <v>235</v>
      </c>
      <c r="D92" s="9"/>
      <c r="E92" s="9" t="s">
        <v>392</v>
      </c>
      <c r="F92" s="21" t="n">
        <v>4</v>
      </c>
      <c r="G92" s="9" t="s">
        <v>202</v>
      </c>
      <c r="H92" s="9" t="s">
        <v>393</v>
      </c>
      <c r="I92" s="21" t="n">
        <v>4.3</v>
      </c>
      <c r="J92" s="9"/>
      <c r="K92" s="9"/>
      <c r="L92" s="9" t="s">
        <v>205</v>
      </c>
    </row>
    <row r="93" customFormat="false" ht="15" hidden="false" customHeight="false" outlineLevel="0" collapsed="false">
      <c r="A93" s="7" t="n">
        <v>90</v>
      </c>
      <c r="B93" s="7" t="n">
        <v>26</v>
      </c>
      <c r="C93" s="8" t="s">
        <v>125</v>
      </c>
      <c r="D93" s="9"/>
      <c r="E93" s="9"/>
      <c r="F93" s="27"/>
      <c r="G93" s="9" t="s">
        <v>394</v>
      </c>
      <c r="H93" s="9" t="s">
        <v>395</v>
      </c>
      <c r="I93" s="21" t="n">
        <v>5.5</v>
      </c>
      <c r="J93" s="9"/>
      <c r="K93" s="9"/>
      <c r="L93" s="9" t="s">
        <v>205</v>
      </c>
    </row>
    <row r="94" customFormat="false" ht="15" hidden="false" customHeight="false" outlineLevel="0" collapsed="false">
      <c r="A94" s="7" t="n">
        <v>91</v>
      </c>
      <c r="B94" s="7" t="n">
        <v>26</v>
      </c>
      <c r="C94" s="8" t="s">
        <v>371</v>
      </c>
      <c r="D94" s="9"/>
      <c r="E94" s="9" t="s">
        <v>372</v>
      </c>
      <c r="F94" s="21" t="n">
        <v>5</v>
      </c>
      <c r="G94" s="9" t="s">
        <v>238</v>
      </c>
      <c r="H94" s="9" t="s">
        <v>311</v>
      </c>
      <c r="I94" s="21" t="n">
        <v>5.9</v>
      </c>
      <c r="J94" s="9"/>
      <c r="K94" s="9"/>
      <c r="L94" s="9" t="s">
        <v>205</v>
      </c>
    </row>
    <row r="95" customFormat="false" ht="22.35" hidden="false" customHeight="false" outlineLevel="0" collapsed="false">
      <c r="A95" s="7" t="n">
        <v>92</v>
      </c>
      <c r="B95" s="7" t="n">
        <v>26</v>
      </c>
      <c r="C95" s="8" t="s">
        <v>396</v>
      </c>
      <c r="D95" s="9"/>
      <c r="E95" s="9"/>
      <c r="F95" s="21" t="n">
        <v>4</v>
      </c>
      <c r="G95" s="9" t="s">
        <v>397</v>
      </c>
      <c r="H95" s="9" t="s">
        <v>398</v>
      </c>
      <c r="I95" s="21" t="n">
        <v>5.4</v>
      </c>
      <c r="J95" s="9"/>
      <c r="K95" s="9"/>
      <c r="L95" s="9" t="s">
        <v>205</v>
      </c>
    </row>
    <row r="96" customFormat="false" ht="15" hidden="false" customHeight="false" outlineLevel="0" collapsed="false">
      <c r="A96" s="7" t="n">
        <v>93</v>
      </c>
      <c r="B96" s="7" t="n">
        <v>27</v>
      </c>
      <c r="C96" s="8" t="s">
        <v>172</v>
      </c>
      <c r="D96" s="9"/>
      <c r="E96" s="9"/>
      <c r="F96" s="27"/>
      <c r="G96" s="9" t="s">
        <v>202</v>
      </c>
      <c r="H96" s="9" t="s">
        <v>399</v>
      </c>
      <c r="I96" s="21" t="n">
        <v>4.08</v>
      </c>
      <c r="J96" s="9"/>
      <c r="K96" s="9" t="s">
        <v>400</v>
      </c>
      <c r="L96" s="9" t="s">
        <v>205</v>
      </c>
    </row>
    <row r="97" customFormat="false" ht="15" hidden="false" customHeight="false" outlineLevel="0" collapsed="false">
      <c r="A97" s="7" t="n">
        <v>94</v>
      </c>
      <c r="B97" s="7" t="n">
        <v>27</v>
      </c>
      <c r="C97" s="8" t="s">
        <v>158</v>
      </c>
      <c r="D97" s="9"/>
      <c r="E97" s="9"/>
      <c r="F97" s="27"/>
      <c r="G97" s="9" t="s">
        <v>285</v>
      </c>
      <c r="H97" s="9" t="s">
        <v>354</v>
      </c>
      <c r="I97" s="21" t="n">
        <v>5.5</v>
      </c>
      <c r="J97" s="9"/>
      <c r="K97" s="9"/>
      <c r="L97" s="9" t="s">
        <v>205</v>
      </c>
    </row>
    <row r="98" customFormat="false" ht="15" hidden="false" customHeight="false" outlineLevel="0" collapsed="false">
      <c r="A98" s="7" t="n">
        <v>95</v>
      </c>
      <c r="B98" s="7" t="n">
        <v>27</v>
      </c>
      <c r="C98" s="8" t="s">
        <v>401</v>
      </c>
      <c r="D98" s="9"/>
      <c r="E98" s="9" t="s">
        <v>402</v>
      </c>
      <c r="F98" s="21" t="n">
        <v>3</v>
      </c>
      <c r="G98" s="9" t="s">
        <v>376</v>
      </c>
      <c r="H98" s="9" t="s">
        <v>377</v>
      </c>
      <c r="I98" s="21" t="n">
        <v>4.9</v>
      </c>
      <c r="J98" s="9"/>
      <c r="K98" s="9"/>
      <c r="L98" s="9" t="s">
        <v>205</v>
      </c>
    </row>
    <row r="99" customFormat="false" ht="15" hidden="false" customHeight="false" outlineLevel="0" collapsed="false">
      <c r="A99" s="22" t="n">
        <v>96</v>
      </c>
      <c r="B99" s="22" t="n">
        <v>27</v>
      </c>
      <c r="C99" s="23" t="s">
        <v>403</v>
      </c>
      <c r="D99" s="24"/>
      <c r="E99" s="24" t="s">
        <v>402</v>
      </c>
      <c r="F99" s="25" t="n">
        <v>3</v>
      </c>
      <c r="G99" s="24" t="s">
        <v>244</v>
      </c>
      <c r="H99" s="24"/>
      <c r="I99" s="26"/>
      <c r="J99" s="24"/>
      <c r="K99" s="24"/>
      <c r="L99" s="24" t="s">
        <v>320</v>
      </c>
    </row>
    <row r="100" customFormat="false" ht="22.35" hidden="false" customHeight="false" outlineLevel="0" collapsed="false">
      <c r="A100" s="22" t="n">
        <v>97</v>
      </c>
      <c r="B100" s="22" t="n">
        <v>28</v>
      </c>
      <c r="C100" s="23" t="s">
        <v>404</v>
      </c>
      <c r="D100" s="24"/>
      <c r="E100" s="24"/>
      <c r="F100" s="26"/>
      <c r="G100" s="24" t="s">
        <v>405</v>
      </c>
      <c r="H100" s="24"/>
      <c r="I100" s="26"/>
      <c r="J100" s="24"/>
      <c r="K100" s="24"/>
      <c r="L100" s="24" t="s">
        <v>208</v>
      </c>
    </row>
    <row r="101" customFormat="false" ht="15" hidden="false" customHeight="false" outlineLevel="0" collapsed="false">
      <c r="A101" s="7" t="n">
        <v>98</v>
      </c>
      <c r="B101" s="7" t="n">
        <v>28</v>
      </c>
      <c r="C101" s="8" t="s">
        <v>406</v>
      </c>
      <c r="D101" s="9"/>
      <c r="E101" s="9" t="s">
        <v>47</v>
      </c>
      <c r="F101" s="21" t="n">
        <v>3</v>
      </c>
      <c r="G101" s="9" t="s">
        <v>202</v>
      </c>
      <c r="H101" s="9" t="s">
        <v>207</v>
      </c>
      <c r="I101" s="21" t="n">
        <v>3.8</v>
      </c>
      <c r="J101" s="9"/>
      <c r="K101" s="9"/>
      <c r="L101" s="9" t="s">
        <v>205</v>
      </c>
    </row>
    <row r="102" customFormat="false" ht="15" hidden="false" customHeight="false" outlineLevel="0" collapsed="false">
      <c r="A102" s="22" t="n">
        <v>99</v>
      </c>
      <c r="B102" s="22" t="n">
        <v>28</v>
      </c>
      <c r="C102" s="23" t="s">
        <v>407</v>
      </c>
      <c r="D102" s="24"/>
      <c r="E102" s="24" t="s">
        <v>47</v>
      </c>
      <c r="F102" s="25" t="n">
        <v>3</v>
      </c>
      <c r="G102" s="24" t="s">
        <v>285</v>
      </c>
      <c r="H102" s="24"/>
      <c r="I102" s="26"/>
      <c r="J102" s="24"/>
      <c r="K102" s="24"/>
      <c r="L102" s="24" t="s">
        <v>320</v>
      </c>
    </row>
    <row r="103" customFormat="false" ht="15" hidden="false" customHeight="false" outlineLevel="0" collapsed="false">
      <c r="A103" s="22" t="n">
        <v>100</v>
      </c>
      <c r="B103" s="22" t="n">
        <v>28</v>
      </c>
      <c r="C103" s="23" t="s">
        <v>407</v>
      </c>
      <c r="D103" s="24"/>
      <c r="E103" s="24" t="s">
        <v>408</v>
      </c>
      <c r="F103" s="25" t="n">
        <v>3</v>
      </c>
      <c r="G103" s="24" t="s">
        <v>285</v>
      </c>
      <c r="H103" s="24"/>
      <c r="I103" s="26"/>
      <c r="J103" s="24"/>
      <c r="K103" s="24"/>
      <c r="L103" s="24" t="s">
        <v>320</v>
      </c>
    </row>
    <row r="104" customFormat="false" ht="15" hidden="false" customHeight="false" outlineLevel="0" collapsed="false">
      <c r="A104" s="7" t="n">
        <v>101</v>
      </c>
      <c r="B104" s="7" t="n">
        <v>29</v>
      </c>
      <c r="C104" s="8" t="s">
        <v>67</v>
      </c>
      <c r="D104" s="9"/>
      <c r="E104" s="9" t="s">
        <v>47</v>
      </c>
      <c r="F104" s="21" t="n">
        <v>3</v>
      </c>
      <c r="G104" s="9" t="s">
        <v>202</v>
      </c>
      <c r="H104" s="9" t="s">
        <v>207</v>
      </c>
      <c r="I104" s="21" t="n">
        <v>4.2</v>
      </c>
      <c r="J104" s="9"/>
      <c r="K104" s="9"/>
      <c r="L104" s="9" t="s">
        <v>205</v>
      </c>
    </row>
    <row r="105" customFormat="false" ht="15" hidden="false" customHeight="false" outlineLevel="0" collapsed="false">
      <c r="A105" s="7" t="n">
        <v>102</v>
      </c>
      <c r="B105" s="7" t="n">
        <v>29</v>
      </c>
      <c r="C105" s="8" t="s">
        <v>199</v>
      </c>
      <c r="D105" s="9" t="s">
        <v>409</v>
      </c>
      <c r="E105" s="9" t="s">
        <v>410</v>
      </c>
      <c r="F105" s="21" t="n">
        <v>1.5</v>
      </c>
      <c r="G105" s="9" t="s">
        <v>285</v>
      </c>
      <c r="H105" s="9" t="s">
        <v>411</v>
      </c>
      <c r="I105" s="21" t="n">
        <v>3.8</v>
      </c>
      <c r="J105" s="9"/>
      <c r="K105" s="9"/>
      <c r="L105" s="9" t="s">
        <v>205</v>
      </c>
    </row>
    <row r="106" customFormat="false" ht="15" hidden="false" customHeight="false" outlineLevel="0" collapsed="false">
      <c r="A106" s="7" t="n">
        <v>103</v>
      </c>
      <c r="B106" s="7" t="n">
        <v>29</v>
      </c>
      <c r="C106" s="8" t="s">
        <v>199</v>
      </c>
      <c r="D106" s="9" t="s">
        <v>412</v>
      </c>
      <c r="E106" s="9"/>
      <c r="F106" s="21" t="n">
        <v>1.5</v>
      </c>
      <c r="G106" s="9" t="s">
        <v>202</v>
      </c>
      <c r="H106" s="9" t="s">
        <v>413</v>
      </c>
      <c r="I106" s="21" t="n">
        <v>5.7</v>
      </c>
      <c r="J106" s="9"/>
      <c r="K106" s="9" t="s">
        <v>204</v>
      </c>
      <c r="L106" s="9" t="s">
        <v>205</v>
      </c>
    </row>
    <row r="107" customFormat="false" ht="15" hidden="false" customHeight="false" outlineLevel="0" collapsed="false">
      <c r="A107" s="7" t="n">
        <v>104</v>
      </c>
      <c r="B107" s="7" t="n">
        <v>29</v>
      </c>
      <c r="C107" s="8" t="s">
        <v>199</v>
      </c>
      <c r="D107" s="9" t="s">
        <v>414</v>
      </c>
      <c r="E107" s="9" t="s">
        <v>415</v>
      </c>
      <c r="F107" s="21" t="n">
        <v>1.5</v>
      </c>
      <c r="G107" s="9" t="s">
        <v>202</v>
      </c>
      <c r="H107" s="9" t="s">
        <v>411</v>
      </c>
      <c r="I107" s="21" t="n">
        <v>3.7</v>
      </c>
      <c r="J107" s="9"/>
      <c r="K107" s="9"/>
      <c r="L107" s="9" t="s">
        <v>205</v>
      </c>
    </row>
    <row r="108" customFormat="false" ht="15" hidden="false" customHeight="false" outlineLevel="0" collapsed="false">
      <c r="A108" s="7" t="n">
        <v>105</v>
      </c>
      <c r="B108" s="7" t="n">
        <v>30</v>
      </c>
      <c r="C108" s="8" t="s">
        <v>199</v>
      </c>
      <c r="D108" s="9" t="s">
        <v>416</v>
      </c>
      <c r="E108" s="9"/>
      <c r="F108" s="27"/>
      <c r="G108" s="9" t="s">
        <v>310</v>
      </c>
      <c r="H108" s="9" t="s">
        <v>417</v>
      </c>
      <c r="I108" s="21" t="n">
        <v>3.7</v>
      </c>
      <c r="J108" s="9"/>
      <c r="K108" s="9"/>
      <c r="L108" s="9" t="s">
        <v>205</v>
      </c>
    </row>
    <row r="109" customFormat="false" ht="15" hidden="false" customHeight="false" outlineLevel="0" collapsed="false">
      <c r="A109" s="7" t="n">
        <v>106</v>
      </c>
      <c r="B109" s="7" t="n">
        <v>30</v>
      </c>
      <c r="C109" s="8" t="s">
        <v>199</v>
      </c>
      <c r="D109" s="9" t="s">
        <v>418</v>
      </c>
      <c r="E109" s="9"/>
      <c r="F109" s="27"/>
      <c r="G109" s="9" t="s">
        <v>310</v>
      </c>
      <c r="H109" s="9" t="s">
        <v>417</v>
      </c>
      <c r="I109" s="21" t="n">
        <v>3.9</v>
      </c>
      <c r="J109" s="9"/>
      <c r="K109" s="9"/>
      <c r="L109" s="9" t="s">
        <v>205</v>
      </c>
    </row>
    <row r="110" customFormat="false" ht="15" hidden="false" customHeight="false" outlineLevel="0" collapsed="false">
      <c r="A110" s="7" t="n">
        <v>107</v>
      </c>
      <c r="B110" s="7" t="n">
        <v>30</v>
      </c>
      <c r="C110" s="8" t="s">
        <v>199</v>
      </c>
      <c r="D110" s="9" t="s">
        <v>419</v>
      </c>
      <c r="E110" s="9"/>
      <c r="F110" s="27"/>
      <c r="G110" s="9" t="s">
        <v>420</v>
      </c>
      <c r="H110" s="9" t="s">
        <v>421</v>
      </c>
      <c r="I110" s="21" t="n">
        <v>4.5</v>
      </c>
      <c r="J110" s="9"/>
      <c r="K110" s="9"/>
      <c r="L110" s="9" t="s">
        <v>205</v>
      </c>
    </row>
    <row r="111" customFormat="false" ht="15" hidden="false" customHeight="false" outlineLevel="0" collapsed="false">
      <c r="A111" s="7" t="n">
        <v>108</v>
      </c>
      <c r="B111" s="7" t="n">
        <v>30</v>
      </c>
      <c r="C111" s="8" t="s">
        <v>199</v>
      </c>
      <c r="D111" s="9" t="s">
        <v>422</v>
      </c>
      <c r="E111" s="9"/>
      <c r="F111" s="27"/>
      <c r="G111" s="9" t="s">
        <v>420</v>
      </c>
      <c r="H111" s="9" t="s">
        <v>421</v>
      </c>
      <c r="I111" s="21" t="n">
        <v>4.8</v>
      </c>
      <c r="J111" s="9"/>
      <c r="K111" s="9"/>
      <c r="L111" s="9" t="s">
        <v>205</v>
      </c>
    </row>
  </sheetData>
  <autoFilter ref="A3:L111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7" min="4" style="0" width="10"/>
    <col collapsed="false" customWidth="true" hidden="false" outlineLevel="0" max="8" min="8" style="0" width="60"/>
    <col collapsed="false" customWidth="true" hidden="false" outlineLevel="0" max="9" min="9" style="0" width="18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4" t="s">
        <v>423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30" hidden="false" customHeight="true" outlineLevel="0" collapsed="false">
      <c r="A2" s="5" t="s">
        <v>424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42" hidden="false" customHeight="true" outlineLevel="0" collapsed="false">
      <c r="A3" s="6" t="s">
        <v>425</v>
      </c>
      <c r="B3" s="6" t="s">
        <v>426</v>
      </c>
      <c r="C3" s="6" t="s">
        <v>427</v>
      </c>
      <c r="D3" s="6" t="s">
        <v>192</v>
      </c>
      <c r="E3" s="6" t="s">
        <v>428</v>
      </c>
      <c r="F3" s="6" t="s">
        <v>429</v>
      </c>
      <c r="G3" s="6" t="s">
        <v>430</v>
      </c>
      <c r="H3" s="6" t="s">
        <v>45</v>
      </c>
      <c r="I3" s="6" t="s">
        <v>431</v>
      </c>
      <c r="J3" s="6" t="s">
        <v>432</v>
      </c>
    </row>
    <row r="4" customFormat="false" ht="15" hidden="false" customHeight="false" outlineLevel="0" collapsed="false">
      <c r="A4" s="9" t="s">
        <v>433</v>
      </c>
      <c r="B4" s="8" t="s">
        <v>434</v>
      </c>
      <c r="C4" s="9" t="s">
        <v>435</v>
      </c>
      <c r="D4" s="27"/>
      <c r="E4" s="27"/>
      <c r="F4" s="27"/>
      <c r="G4" s="27"/>
      <c r="H4" s="9" t="s">
        <v>436</v>
      </c>
      <c r="I4" s="9" t="s">
        <v>437</v>
      </c>
      <c r="J4" s="9"/>
    </row>
    <row r="5" customFormat="false" ht="15" hidden="false" customHeight="false" outlineLevel="0" collapsed="false">
      <c r="A5" s="9" t="s">
        <v>438</v>
      </c>
      <c r="B5" s="9" t="s">
        <v>434</v>
      </c>
      <c r="C5" s="9"/>
      <c r="D5" s="9"/>
      <c r="E5" s="9"/>
      <c r="F5" s="9"/>
      <c r="G5" s="9"/>
      <c r="H5" s="9" t="s">
        <v>439</v>
      </c>
      <c r="I5" s="9" t="s">
        <v>118</v>
      </c>
      <c r="J5" s="9"/>
    </row>
    <row r="6" customFormat="false" ht="15" hidden="false" customHeight="false" outlineLevel="0" collapsed="false">
      <c r="A6" s="9" t="s">
        <v>440</v>
      </c>
      <c r="B6" s="9" t="s">
        <v>434</v>
      </c>
      <c r="C6" s="9"/>
      <c r="D6" s="9"/>
      <c r="E6" s="9"/>
      <c r="F6" s="9"/>
      <c r="G6" s="9"/>
      <c r="H6" s="9" t="s">
        <v>439</v>
      </c>
      <c r="I6" s="9" t="s">
        <v>118</v>
      </c>
      <c r="J6" s="9"/>
    </row>
    <row r="7" customFormat="false" ht="15" hidden="false" customHeight="false" outlineLevel="0" collapsed="false">
      <c r="A7" s="9" t="s">
        <v>441</v>
      </c>
      <c r="B7" s="9" t="s">
        <v>434</v>
      </c>
      <c r="C7" s="9"/>
      <c r="D7" s="9"/>
      <c r="E7" s="9"/>
      <c r="F7" s="9"/>
      <c r="G7" s="9"/>
      <c r="H7" s="9" t="s">
        <v>439</v>
      </c>
      <c r="I7" s="9" t="s">
        <v>118</v>
      </c>
      <c r="J7" s="9"/>
    </row>
    <row r="8" customFormat="false" ht="15" hidden="false" customHeight="false" outlineLevel="0" collapsed="false">
      <c r="A8" s="9" t="s">
        <v>442</v>
      </c>
      <c r="B8" s="8" t="s">
        <v>443</v>
      </c>
      <c r="C8" s="9" t="s">
        <v>444</v>
      </c>
      <c r="D8" s="21" t="n">
        <v>3</v>
      </c>
      <c r="E8" s="21" t="n">
        <v>5.5</v>
      </c>
      <c r="F8" s="21" t="n">
        <v>4.7</v>
      </c>
      <c r="G8" s="21" t="n">
        <v>3.75</v>
      </c>
      <c r="H8" s="9"/>
      <c r="I8" s="9" t="s">
        <v>437</v>
      </c>
      <c r="J8" s="9" t="s">
        <v>445</v>
      </c>
    </row>
    <row r="9" customFormat="false" ht="15" hidden="false" customHeight="false" outlineLevel="0" collapsed="false">
      <c r="A9" s="9" t="s">
        <v>446</v>
      </c>
      <c r="B9" s="9" t="s">
        <v>447</v>
      </c>
      <c r="C9" s="9"/>
      <c r="D9" s="9"/>
      <c r="E9" s="9"/>
      <c r="F9" s="9"/>
      <c r="G9" s="9"/>
      <c r="H9" s="9" t="s">
        <v>448</v>
      </c>
      <c r="I9" s="9" t="s">
        <v>118</v>
      </c>
      <c r="J9" s="9" t="s">
        <v>445</v>
      </c>
    </row>
    <row r="10" customFormat="false" ht="22.35" hidden="false" customHeight="false" outlineLevel="0" collapsed="false">
      <c r="A10" s="30" t="s">
        <v>449</v>
      </c>
      <c r="B10" s="29" t="s">
        <v>450</v>
      </c>
      <c r="C10" s="30" t="s">
        <v>451</v>
      </c>
      <c r="D10" s="31"/>
      <c r="E10" s="31"/>
      <c r="F10" s="31"/>
      <c r="G10" s="31"/>
      <c r="H10" s="30" t="s">
        <v>452</v>
      </c>
      <c r="I10" s="30" t="s">
        <v>453</v>
      </c>
      <c r="J10" s="30" t="s">
        <v>445</v>
      </c>
    </row>
    <row r="11" customFormat="false" ht="22.35" hidden="false" customHeight="false" outlineLevel="0" collapsed="false">
      <c r="A11" s="9" t="s">
        <v>454</v>
      </c>
      <c r="B11" s="8" t="s">
        <v>455</v>
      </c>
      <c r="C11" s="9" t="s">
        <v>456</v>
      </c>
      <c r="D11" s="27"/>
      <c r="E11" s="27"/>
      <c r="F11" s="27"/>
      <c r="G11" s="27"/>
      <c r="H11" s="9" t="s">
        <v>457</v>
      </c>
      <c r="I11" s="9" t="s">
        <v>437</v>
      </c>
      <c r="J11" s="9" t="s">
        <v>458</v>
      </c>
    </row>
    <row r="12" customFormat="false" ht="15" hidden="false" customHeight="false" outlineLevel="0" collapsed="false">
      <c r="A12" s="9" t="s">
        <v>459</v>
      </c>
      <c r="B12" s="8" t="s">
        <v>460</v>
      </c>
      <c r="C12" s="9" t="s">
        <v>444</v>
      </c>
      <c r="D12" s="21" t="n">
        <v>3</v>
      </c>
      <c r="E12" s="27"/>
      <c r="F12" s="21" t="n">
        <v>4.2</v>
      </c>
      <c r="G12" s="21" t="n">
        <v>3.3</v>
      </c>
      <c r="H12" s="9"/>
      <c r="I12" s="9" t="s">
        <v>437</v>
      </c>
      <c r="J12" s="9" t="s">
        <v>445</v>
      </c>
    </row>
    <row r="13" customFormat="false" ht="15" hidden="false" customHeight="false" outlineLevel="0" collapsed="false">
      <c r="A13" s="9" t="s">
        <v>461</v>
      </c>
      <c r="B13" s="9" t="s">
        <v>462</v>
      </c>
      <c r="C13" s="9"/>
      <c r="D13" s="9"/>
      <c r="E13" s="9"/>
      <c r="F13" s="9"/>
      <c r="G13" s="9"/>
      <c r="H13" s="9" t="s">
        <v>448</v>
      </c>
      <c r="I13" s="9" t="s">
        <v>118</v>
      </c>
      <c r="J13" s="9" t="s">
        <v>445</v>
      </c>
    </row>
    <row r="14" customFormat="false" ht="15" hidden="false" customHeight="false" outlineLevel="0" collapsed="false">
      <c r="A14" s="9" t="s">
        <v>463</v>
      </c>
      <c r="B14" s="8" t="s">
        <v>464</v>
      </c>
      <c r="C14" s="9" t="s">
        <v>444</v>
      </c>
      <c r="D14" s="21" t="n">
        <v>3</v>
      </c>
      <c r="E14" s="27"/>
      <c r="F14" s="21" t="n">
        <v>4.5</v>
      </c>
      <c r="G14" s="21" t="n">
        <v>3.5</v>
      </c>
      <c r="H14" s="9"/>
      <c r="I14" s="9" t="s">
        <v>437</v>
      </c>
      <c r="J14" s="9" t="s">
        <v>445</v>
      </c>
    </row>
    <row r="15" customFormat="false" ht="15" hidden="false" customHeight="false" outlineLevel="0" collapsed="false">
      <c r="A15" s="9" t="s">
        <v>465</v>
      </c>
      <c r="B15" s="9" t="s">
        <v>466</v>
      </c>
      <c r="C15" s="9"/>
      <c r="D15" s="9"/>
      <c r="E15" s="9"/>
      <c r="F15" s="9"/>
      <c r="G15" s="9"/>
      <c r="H15" s="9" t="s">
        <v>448</v>
      </c>
      <c r="I15" s="9" t="s">
        <v>118</v>
      </c>
      <c r="J15" s="9" t="s">
        <v>445</v>
      </c>
    </row>
    <row r="16" customFormat="false" ht="15" hidden="false" customHeight="false" outlineLevel="0" collapsed="false">
      <c r="A16" s="9" t="s">
        <v>467</v>
      </c>
      <c r="B16" s="8" t="s">
        <v>460</v>
      </c>
      <c r="C16" s="9"/>
      <c r="D16" s="27"/>
      <c r="E16" s="27"/>
      <c r="F16" s="27"/>
      <c r="G16" s="27"/>
      <c r="H16" s="9"/>
      <c r="I16" s="9" t="s">
        <v>437</v>
      </c>
      <c r="J16" s="9" t="s">
        <v>445</v>
      </c>
    </row>
    <row r="17" customFormat="false" ht="15" hidden="false" customHeight="false" outlineLevel="0" collapsed="false">
      <c r="A17" s="9" t="s">
        <v>468</v>
      </c>
      <c r="B17" s="9" t="s">
        <v>460</v>
      </c>
      <c r="C17" s="9"/>
      <c r="D17" s="9"/>
      <c r="E17" s="9"/>
      <c r="F17" s="9"/>
      <c r="G17" s="9"/>
      <c r="H17" s="9" t="s">
        <v>448</v>
      </c>
      <c r="I17" s="9" t="s">
        <v>118</v>
      </c>
      <c r="J17" s="9" t="s">
        <v>445</v>
      </c>
    </row>
    <row r="18" customFormat="false" ht="15" hidden="false" customHeight="false" outlineLevel="0" collapsed="false">
      <c r="A18" s="9" t="s">
        <v>469</v>
      </c>
      <c r="B18" s="8" t="s">
        <v>470</v>
      </c>
      <c r="C18" s="9"/>
      <c r="D18" s="27"/>
      <c r="E18" s="27"/>
      <c r="F18" s="27"/>
      <c r="G18" s="27"/>
      <c r="H18" s="9"/>
      <c r="I18" s="9" t="s">
        <v>437</v>
      </c>
      <c r="J18" s="9" t="s">
        <v>445</v>
      </c>
    </row>
    <row r="19" customFormat="false" ht="15" hidden="false" customHeight="false" outlineLevel="0" collapsed="false">
      <c r="A19" s="9" t="s">
        <v>471</v>
      </c>
      <c r="B19" s="9" t="s">
        <v>470</v>
      </c>
      <c r="C19" s="9"/>
      <c r="D19" s="9"/>
      <c r="E19" s="9"/>
      <c r="F19" s="9"/>
      <c r="G19" s="9"/>
      <c r="H19" s="9" t="s">
        <v>448</v>
      </c>
      <c r="I19" s="9" t="s">
        <v>118</v>
      </c>
      <c r="J19" s="9" t="s">
        <v>445</v>
      </c>
    </row>
    <row r="20" customFormat="false" ht="15" hidden="false" customHeight="false" outlineLevel="0" collapsed="false">
      <c r="A20" s="9" t="s">
        <v>472</v>
      </c>
      <c r="B20" s="8" t="s">
        <v>473</v>
      </c>
      <c r="C20" s="9"/>
      <c r="D20" s="27"/>
      <c r="E20" s="27"/>
      <c r="F20" s="27"/>
      <c r="G20" s="27"/>
      <c r="H20" s="9"/>
      <c r="I20" s="9" t="s">
        <v>437</v>
      </c>
      <c r="J20" s="9" t="s">
        <v>445</v>
      </c>
    </row>
    <row r="21" customFormat="false" ht="15" hidden="false" customHeight="false" outlineLevel="0" collapsed="false">
      <c r="A21" s="9" t="s">
        <v>474</v>
      </c>
      <c r="B21" s="9" t="s">
        <v>473</v>
      </c>
      <c r="C21" s="9"/>
      <c r="D21" s="9"/>
      <c r="E21" s="9"/>
      <c r="F21" s="9"/>
      <c r="G21" s="9"/>
      <c r="H21" s="9" t="s">
        <v>448</v>
      </c>
      <c r="I21" s="9" t="s">
        <v>118</v>
      </c>
      <c r="J21" s="9" t="s">
        <v>445</v>
      </c>
    </row>
    <row r="22" customFormat="false" ht="15" hidden="false" customHeight="false" outlineLevel="0" collapsed="false">
      <c r="A22" s="9" t="s">
        <v>475</v>
      </c>
      <c r="B22" s="8" t="s">
        <v>476</v>
      </c>
      <c r="C22" s="9"/>
      <c r="D22" s="27"/>
      <c r="E22" s="27"/>
      <c r="F22" s="27"/>
      <c r="G22" s="27"/>
      <c r="H22" s="9"/>
      <c r="I22" s="9" t="s">
        <v>437</v>
      </c>
      <c r="J22" s="9" t="s">
        <v>445</v>
      </c>
    </row>
    <row r="23" customFormat="false" ht="15" hidden="false" customHeight="false" outlineLevel="0" collapsed="false">
      <c r="A23" s="9" t="s">
        <v>477</v>
      </c>
      <c r="B23" s="9" t="s">
        <v>476</v>
      </c>
      <c r="C23" s="9"/>
      <c r="D23" s="9"/>
      <c r="E23" s="9"/>
      <c r="F23" s="9"/>
      <c r="G23" s="9"/>
      <c r="H23" s="9" t="s">
        <v>448</v>
      </c>
      <c r="I23" s="9" t="s">
        <v>118</v>
      </c>
      <c r="J23" s="9" t="s">
        <v>445</v>
      </c>
    </row>
    <row r="24" customFormat="false" ht="15" hidden="false" customHeight="false" outlineLevel="0" collapsed="false">
      <c r="A24" s="9" t="s">
        <v>478</v>
      </c>
      <c r="B24" s="8" t="s">
        <v>479</v>
      </c>
      <c r="C24" s="9"/>
      <c r="D24" s="27"/>
      <c r="E24" s="27"/>
      <c r="F24" s="27"/>
      <c r="G24" s="27"/>
      <c r="H24" s="9"/>
      <c r="I24" s="9" t="s">
        <v>437</v>
      </c>
      <c r="J24" s="9" t="s">
        <v>445</v>
      </c>
    </row>
    <row r="25" customFormat="false" ht="15" hidden="false" customHeight="false" outlineLevel="0" collapsed="false">
      <c r="A25" s="9" t="s">
        <v>480</v>
      </c>
      <c r="B25" s="9" t="s">
        <v>479</v>
      </c>
      <c r="C25" s="9"/>
      <c r="D25" s="9"/>
      <c r="E25" s="9"/>
      <c r="F25" s="9"/>
      <c r="G25" s="9"/>
      <c r="H25" s="9" t="s">
        <v>448</v>
      </c>
      <c r="I25" s="9" t="s">
        <v>118</v>
      </c>
      <c r="J25" s="9" t="s">
        <v>445</v>
      </c>
    </row>
    <row r="26" customFormat="false" ht="15" hidden="false" customHeight="false" outlineLevel="0" collapsed="false">
      <c r="A26" s="9" t="s">
        <v>481</v>
      </c>
      <c r="B26" s="8" t="s">
        <v>482</v>
      </c>
      <c r="C26" s="9"/>
      <c r="D26" s="27"/>
      <c r="E26" s="27"/>
      <c r="F26" s="27"/>
      <c r="G26" s="27"/>
      <c r="H26" s="9"/>
      <c r="I26" s="9" t="s">
        <v>437</v>
      </c>
      <c r="J26" s="9" t="s">
        <v>445</v>
      </c>
    </row>
    <row r="27" customFormat="false" ht="15" hidden="false" customHeight="false" outlineLevel="0" collapsed="false">
      <c r="A27" s="9" t="s">
        <v>483</v>
      </c>
      <c r="B27" s="9" t="s">
        <v>482</v>
      </c>
      <c r="C27" s="9"/>
      <c r="D27" s="9"/>
      <c r="E27" s="9"/>
      <c r="F27" s="9"/>
      <c r="G27" s="9"/>
      <c r="H27" s="9" t="s">
        <v>448</v>
      </c>
      <c r="I27" s="9" t="s">
        <v>118</v>
      </c>
      <c r="J27" s="9" t="s">
        <v>445</v>
      </c>
    </row>
    <row r="28" customFormat="false" ht="15" hidden="false" customHeight="false" outlineLevel="0" collapsed="false">
      <c r="A28" s="9" t="s">
        <v>484</v>
      </c>
      <c r="B28" s="8" t="s">
        <v>485</v>
      </c>
      <c r="C28" s="9"/>
      <c r="D28" s="27"/>
      <c r="E28" s="27"/>
      <c r="F28" s="27"/>
      <c r="G28" s="27"/>
      <c r="H28" s="9"/>
      <c r="I28" s="9" t="s">
        <v>437</v>
      </c>
      <c r="J28" s="9" t="s">
        <v>445</v>
      </c>
    </row>
    <row r="29" customFormat="false" ht="15" hidden="false" customHeight="false" outlineLevel="0" collapsed="false">
      <c r="A29" s="9" t="s">
        <v>486</v>
      </c>
      <c r="B29" s="9" t="s">
        <v>485</v>
      </c>
      <c r="C29" s="9"/>
      <c r="D29" s="9"/>
      <c r="E29" s="9"/>
      <c r="F29" s="9"/>
      <c r="G29" s="9"/>
      <c r="H29" s="9" t="s">
        <v>448</v>
      </c>
      <c r="I29" s="9" t="s">
        <v>118</v>
      </c>
      <c r="J29" s="9" t="s">
        <v>445</v>
      </c>
    </row>
    <row r="30" customFormat="false" ht="15" hidden="false" customHeight="false" outlineLevel="0" collapsed="false">
      <c r="A30" s="9" t="s">
        <v>487</v>
      </c>
      <c r="B30" s="8" t="s">
        <v>488</v>
      </c>
      <c r="C30" s="9"/>
      <c r="D30" s="27"/>
      <c r="E30" s="27"/>
      <c r="F30" s="27"/>
      <c r="G30" s="27"/>
      <c r="H30" s="9"/>
      <c r="I30" s="9" t="s">
        <v>437</v>
      </c>
      <c r="J30" s="9"/>
    </row>
    <row r="31" customFormat="false" ht="15" hidden="false" customHeight="false" outlineLevel="0" collapsed="false">
      <c r="A31" s="9" t="s">
        <v>489</v>
      </c>
      <c r="B31" s="8" t="s">
        <v>490</v>
      </c>
      <c r="C31" s="9"/>
      <c r="D31" s="21" t="n">
        <v>3.5</v>
      </c>
      <c r="E31" s="21" t="n">
        <v>8</v>
      </c>
      <c r="F31" s="21" t="n">
        <v>4.6</v>
      </c>
      <c r="G31" s="21" t="n">
        <v>3.4</v>
      </c>
      <c r="H31" s="9"/>
      <c r="I31" s="9" t="s">
        <v>437</v>
      </c>
      <c r="J31" s="9"/>
    </row>
    <row r="32" customFormat="false" ht="15" hidden="false" customHeight="false" outlineLevel="0" collapsed="false">
      <c r="A32" s="9" t="s">
        <v>491</v>
      </c>
      <c r="B32" s="8" t="s">
        <v>470</v>
      </c>
      <c r="C32" s="9"/>
      <c r="D32" s="27"/>
      <c r="E32" s="27"/>
      <c r="F32" s="27"/>
      <c r="G32" s="27"/>
      <c r="H32" s="9"/>
      <c r="I32" s="9" t="s">
        <v>437</v>
      </c>
      <c r="J32" s="9"/>
    </row>
    <row r="33" customFormat="false" ht="15" hidden="false" customHeight="false" outlineLevel="0" collapsed="false">
      <c r="A33" s="9" t="s">
        <v>492</v>
      </c>
      <c r="B33" s="8" t="s">
        <v>493</v>
      </c>
      <c r="C33" s="9"/>
      <c r="D33" s="27"/>
      <c r="E33" s="27"/>
      <c r="F33" s="27"/>
      <c r="G33" s="27"/>
      <c r="H33" s="9"/>
      <c r="I33" s="9" t="s">
        <v>437</v>
      </c>
      <c r="J33" s="9"/>
    </row>
    <row r="34" customFormat="false" ht="15" hidden="false" customHeight="false" outlineLevel="0" collapsed="false">
      <c r="A34" s="9" t="s">
        <v>494</v>
      </c>
      <c r="B34" s="8" t="s">
        <v>495</v>
      </c>
      <c r="C34" s="9" t="s">
        <v>496</v>
      </c>
      <c r="D34" s="21" t="n">
        <v>3.5</v>
      </c>
      <c r="E34" s="21" t="n">
        <v>8</v>
      </c>
      <c r="F34" s="21" t="n">
        <v>4.7</v>
      </c>
      <c r="G34" s="21" t="n">
        <v>3.9</v>
      </c>
      <c r="H34" s="9"/>
      <c r="I34" s="9" t="s">
        <v>437</v>
      </c>
      <c r="J34" s="9"/>
    </row>
    <row r="35" customFormat="false" ht="15" hidden="false" customHeight="false" outlineLevel="0" collapsed="false">
      <c r="A35" s="9" t="s">
        <v>497</v>
      </c>
      <c r="B35" s="8" t="s">
        <v>498</v>
      </c>
      <c r="C35" s="9" t="s">
        <v>496</v>
      </c>
      <c r="D35" s="27"/>
      <c r="E35" s="27"/>
      <c r="F35" s="27"/>
      <c r="G35" s="27"/>
      <c r="H35" s="9"/>
      <c r="I35" s="9" t="s">
        <v>437</v>
      </c>
      <c r="J35" s="9"/>
    </row>
    <row r="36" customFormat="false" ht="15" hidden="false" customHeight="false" outlineLevel="0" collapsed="false">
      <c r="A36" s="9" t="s">
        <v>499</v>
      </c>
      <c r="B36" s="8" t="s">
        <v>473</v>
      </c>
      <c r="C36" s="9"/>
      <c r="D36" s="27"/>
      <c r="E36" s="27"/>
      <c r="F36" s="27"/>
      <c r="G36" s="27"/>
      <c r="H36" s="9"/>
      <c r="I36" s="9" t="s">
        <v>437</v>
      </c>
      <c r="J36" s="9"/>
    </row>
    <row r="37" customFormat="false" ht="15" hidden="false" customHeight="false" outlineLevel="0" collapsed="false">
      <c r="A37" s="9" t="s">
        <v>500</v>
      </c>
      <c r="B37" s="8" t="s">
        <v>482</v>
      </c>
      <c r="C37" s="9"/>
      <c r="D37" s="27"/>
      <c r="E37" s="27"/>
      <c r="F37" s="27"/>
      <c r="G37" s="27"/>
      <c r="H37" s="9"/>
      <c r="I37" s="9" t="s">
        <v>437</v>
      </c>
      <c r="J37" s="9"/>
    </row>
    <row r="38" customFormat="false" ht="15" hidden="false" customHeight="false" outlineLevel="0" collapsed="false">
      <c r="A38" s="9" t="s">
        <v>501</v>
      </c>
      <c r="B38" s="8" t="s">
        <v>490</v>
      </c>
      <c r="C38" s="9"/>
      <c r="D38" s="27"/>
      <c r="E38" s="27"/>
      <c r="F38" s="27"/>
      <c r="G38" s="27"/>
      <c r="H38" s="9"/>
      <c r="I38" s="9" t="s">
        <v>437</v>
      </c>
      <c r="J38" s="9"/>
    </row>
    <row r="39" customFormat="false" ht="15" hidden="false" customHeight="false" outlineLevel="0" collapsed="false">
      <c r="A39" s="30" t="s">
        <v>502</v>
      </c>
      <c r="B39" s="29" t="s">
        <v>503</v>
      </c>
      <c r="C39" s="30"/>
      <c r="D39" s="31"/>
      <c r="E39" s="31"/>
      <c r="F39" s="31"/>
      <c r="G39" s="31"/>
      <c r="H39" s="30" t="s">
        <v>504</v>
      </c>
      <c r="I39" s="30" t="s">
        <v>453</v>
      </c>
      <c r="J39" s="30"/>
    </row>
    <row r="40" customFormat="false" ht="15" hidden="false" customHeight="false" outlineLevel="0" collapsed="false">
      <c r="A40" s="9" t="s">
        <v>505</v>
      </c>
      <c r="B40" s="8" t="s">
        <v>488</v>
      </c>
      <c r="C40" s="9" t="s">
        <v>496</v>
      </c>
      <c r="D40" s="21" t="n">
        <v>3.5</v>
      </c>
      <c r="E40" s="21" t="n">
        <v>8</v>
      </c>
      <c r="F40" s="21" t="n">
        <v>4.95</v>
      </c>
      <c r="G40" s="21" t="n">
        <v>3.7</v>
      </c>
      <c r="H40" s="9"/>
      <c r="I40" s="9" t="s">
        <v>437</v>
      </c>
      <c r="J40" s="9"/>
    </row>
    <row r="41" customFormat="false" ht="15" hidden="false" customHeight="false" outlineLevel="0" collapsed="false">
      <c r="A41" s="9" t="s">
        <v>506</v>
      </c>
      <c r="B41" s="8" t="s">
        <v>473</v>
      </c>
      <c r="C41" s="9" t="s">
        <v>496</v>
      </c>
      <c r="D41" s="21" t="n">
        <v>3.5</v>
      </c>
      <c r="E41" s="21" t="n">
        <v>8</v>
      </c>
      <c r="F41" s="21" t="n">
        <v>4.8</v>
      </c>
      <c r="G41" s="21" t="n">
        <v>3.6</v>
      </c>
      <c r="H41" s="9"/>
      <c r="I41" s="9" t="s">
        <v>437</v>
      </c>
      <c r="J41" s="9"/>
    </row>
    <row r="42" customFormat="false" ht="15" hidden="false" customHeight="false" outlineLevel="0" collapsed="false">
      <c r="A42" s="24" t="s">
        <v>507</v>
      </c>
      <c r="B42" s="24"/>
      <c r="C42" s="24"/>
      <c r="D42" s="24"/>
      <c r="E42" s="24"/>
      <c r="F42" s="24"/>
      <c r="G42" s="24"/>
      <c r="H42" s="24" t="s">
        <v>508</v>
      </c>
      <c r="I42" s="24" t="s">
        <v>509</v>
      </c>
      <c r="J42" s="24"/>
    </row>
    <row r="43" customFormat="false" ht="15" hidden="false" customHeight="false" outlineLevel="0" collapsed="false">
      <c r="A43" s="9" t="s">
        <v>510</v>
      </c>
      <c r="B43" s="8" t="s">
        <v>493</v>
      </c>
      <c r="C43" s="9" t="s">
        <v>496</v>
      </c>
      <c r="D43" s="21" t="n">
        <v>3.5</v>
      </c>
      <c r="E43" s="21" t="n">
        <v>8</v>
      </c>
      <c r="F43" s="21" t="n">
        <v>5</v>
      </c>
      <c r="G43" s="21" t="n">
        <v>3.8</v>
      </c>
      <c r="H43" s="9"/>
      <c r="I43" s="9" t="s">
        <v>437</v>
      </c>
      <c r="J43" s="9"/>
    </row>
    <row r="44" customFormat="false" ht="15" hidden="false" customHeight="false" outlineLevel="0" collapsed="false">
      <c r="A44" s="24" t="s">
        <v>511</v>
      </c>
      <c r="B44" s="24"/>
      <c r="C44" s="24"/>
      <c r="D44" s="24"/>
      <c r="E44" s="24"/>
      <c r="F44" s="24"/>
      <c r="G44" s="24"/>
      <c r="H44" s="24" t="s">
        <v>508</v>
      </c>
      <c r="I44" s="24" t="s">
        <v>509</v>
      </c>
      <c r="J44" s="24" t="s">
        <v>512</v>
      </c>
    </row>
    <row r="45" customFormat="false" ht="15" hidden="false" customHeight="false" outlineLevel="0" collapsed="false">
      <c r="A45" s="24" t="s">
        <v>513</v>
      </c>
      <c r="B45" s="24"/>
      <c r="C45" s="24"/>
      <c r="D45" s="24"/>
      <c r="E45" s="24"/>
      <c r="F45" s="24"/>
      <c r="G45" s="24"/>
      <c r="H45" s="24" t="s">
        <v>508</v>
      </c>
      <c r="I45" s="24" t="s">
        <v>509</v>
      </c>
      <c r="J45" s="24" t="s">
        <v>512</v>
      </c>
    </row>
    <row r="46" customFormat="false" ht="15" hidden="false" customHeight="false" outlineLevel="0" collapsed="false">
      <c r="A46" s="24" t="s">
        <v>514</v>
      </c>
      <c r="B46" s="24"/>
      <c r="C46" s="24"/>
      <c r="D46" s="24"/>
      <c r="E46" s="24"/>
      <c r="F46" s="24"/>
      <c r="G46" s="24"/>
      <c r="H46" s="24" t="s">
        <v>508</v>
      </c>
      <c r="I46" s="24" t="s">
        <v>509</v>
      </c>
      <c r="J46" s="24" t="s">
        <v>515</v>
      </c>
    </row>
    <row r="47" customFormat="false" ht="15" hidden="false" customHeight="false" outlineLevel="0" collapsed="false">
      <c r="A47" s="24" t="s">
        <v>516</v>
      </c>
      <c r="B47" s="24"/>
      <c r="C47" s="24"/>
      <c r="D47" s="24"/>
      <c r="E47" s="24"/>
      <c r="F47" s="24"/>
      <c r="G47" s="24"/>
      <c r="H47" s="24" t="s">
        <v>508</v>
      </c>
      <c r="I47" s="24" t="s">
        <v>509</v>
      </c>
      <c r="J47" s="24" t="s">
        <v>515</v>
      </c>
    </row>
    <row r="48" customFormat="false" ht="15" hidden="false" customHeight="false" outlineLevel="0" collapsed="false">
      <c r="A48" s="9" t="s">
        <v>517</v>
      </c>
      <c r="B48" s="8" t="s">
        <v>518</v>
      </c>
      <c r="C48" s="9" t="s">
        <v>519</v>
      </c>
      <c r="D48" s="27"/>
      <c r="E48" s="27"/>
      <c r="F48" s="27"/>
      <c r="G48" s="27"/>
      <c r="H48" s="9"/>
      <c r="I48" s="9" t="s">
        <v>437</v>
      </c>
      <c r="J48" s="9" t="s">
        <v>515</v>
      </c>
    </row>
    <row r="49" customFormat="false" ht="15" hidden="false" customHeight="false" outlineLevel="0" collapsed="false">
      <c r="A49" s="9" t="s">
        <v>520</v>
      </c>
      <c r="B49" s="8" t="s">
        <v>521</v>
      </c>
      <c r="C49" s="9" t="s">
        <v>522</v>
      </c>
      <c r="D49" s="27"/>
      <c r="E49" s="27"/>
      <c r="F49" s="27"/>
      <c r="G49" s="27"/>
      <c r="H49" s="9"/>
      <c r="I49" s="9" t="s">
        <v>437</v>
      </c>
      <c r="J49" s="9" t="s">
        <v>512</v>
      </c>
    </row>
    <row r="50" customFormat="false" ht="15" hidden="false" customHeight="false" outlineLevel="0" collapsed="false">
      <c r="A50" s="9" t="s">
        <v>523</v>
      </c>
      <c r="B50" s="8" t="s">
        <v>524</v>
      </c>
      <c r="C50" s="9" t="s">
        <v>525</v>
      </c>
      <c r="D50" s="21" t="n">
        <v>15</v>
      </c>
      <c r="E50" s="27"/>
      <c r="F50" s="27"/>
      <c r="G50" s="27"/>
      <c r="H50" s="9" t="s">
        <v>526</v>
      </c>
      <c r="I50" s="9" t="s">
        <v>437</v>
      </c>
      <c r="J50" s="9" t="s">
        <v>512</v>
      </c>
    </row>
    <row r="51" customFormat="false" ht="15" hidden="false" customHeight="false" outlineLevel="0" collapsed="false">
      <c r="A51" s="9" t="s">
        <v>527</v>
      </c>
      <c r="B51" s="8" t="s">
        <v>528</v>
      </c>
      <c r="C51" s="9" t="s">
        <v>529</v>
      </c>
      <c r="D51" s="21" t="n">
        <v>5</v>
      </c>
      <c r="E51" s="27"/>
      <c r="F51" s="27"/>
      <c r="G51" s="27"/>
      <c r="H51" s="9"/>
      <c r="I51" s="9" t="s">
        <v>437</v>
      </c>
      <c r="J51" s="9" t="s">
        <v>512</v>
      </c>
    </row>
    <row r="52" customFormat="false" ht="15" hidden="false" customHeight="false" outlineLevel="0" collapsed="false">
      <c r="A52" s="9" t="s">
        <v>530</v>
      </c>
      <c r="B52" s="8" t="s">
        <v>531</v>
      </c>
      <c r="C52" s="9" t="s">
        <v>532</v>
      </c>
      <c r="D52" s="27"/>
      <c r="E52" s="27"/>
      <c r="F52" s="27"/>
      <c r="G52" s="27"/>
      <c r="H52" s="9" t="s">
        <v>533</v>
      </c>
      <c r="I52" s="9" t="s">
        <v>437</v>
      </c>
      <c r="J52" s="9" t="s">
        <v>512</v>
      </c>
    </row>
    <row r="53" customFormat="false" ht="15" hidden="false" customHeight="false" outlineLevel="0" collapsed="false">
      <c r="A53" s="24" t="s">
        <v>534</v>
      </c>
      <c r="B53" s="24"/>
      <c r="C53" s="24"/>
      <c r="D53" s="24"/>
      <c r="E53" s="24"/>
      <c r="F53" s="24"/>
      <c r="G53" s="24"/>
      <c r="H53" s="24" t="s">
        <v>535</v>
      </c>
      <c r="I53" s="24" t="s">
        <v>509</v>
      </c>
      <c r="J53" s="24" t="s">
        <v>512</v>
      </c>
    </row>
    <row r="54" customFormat="false" ht="15" hidden="false" customHeight="false" outlineLevel="0" collapsed="false">
      <c r="A54" s="9" t="s">
        <v>536</v>
      </c>
      <c r="B54" s="8" t="s">
        <v>537</v>
      </c>
      <c r="C54" s="9" t="s">
        <v>532</v>
      </c>
      <c r="D54" s="27"/>
      <c r="E54" s="27"/>
      <c r="F54" s="27"/>
      <c r="G54" s="27"/>
      <c r="H54" s="9"/>
      <c r="I54" s="9" t="s">
        <v>437</v>
      </c>
      <c r="J54" s="9" t="s">
        <v>512</v>
      </c>
    </row>
    <row r="55" customFormat="false" ht="15" hidden="false" customHeight="false" outlineLevel="0" collapsed="false">
      <c r="A55" s="24" t="s">
        <v>538</v>
      </c>
      <c r="B55" s="23"/>
      <c r="C55" s="24"/>
      <c r="D55" s="26"/>
      <c r="E55" s="26"/>
      <c r="F55" s="26"/>
      <c r="G55" s="26"/>
      <c r="H55" s="24" t="s">
        <v>539</v>
      </c>
      <c r="I55" s="24" t="s">
        <v>540</v>
      </c>
      <c r="J55" s="24" t="s">
        <v>512</v>
      </c>
    </row>
    <row r="56" customFormat="false" ht="15" hidden="false" customHeight="false" outlineLevel="0" collapsed="false">
      <c r="A56" s="30" t="s">
        <v>541</v>
      </c>
      <c r="B56" s="29" t="s">
        <v>542</v>
      </c>
      <c r="C56" s="30" t="s">
        <v>543</v>
      </c>
      <c r="D56" s="32" t="n">
        <v>3</v>
      </c>
      <c r="E56" s="31"/>
      <c r="F56" s="31"/>
      <c r="G56" s="31"/>
      <c r="H56" s="30" t="s">
        <v>544</v>
      </c>
      <c r="I56" s="30" t="s">
        <v>453</v>
      </c>
      <c r="J56" s="30" t="s">
        <v>512</v>
      </c>
    </row>
    <row r="57" customFormat="false" ht="15" hidden="false" customHeight="false" outlineLevel="0" collapsed="false">
      <c r="A57" s="9" t="s">
        <v>545</v>
      </c>
      <c r="B57" s="8" t="s">
        <v>546</v>
      </c>
      <c r="C57" s="9" t="s">
        <v>529</v>
      </c>
      <c r="D57" s="21" t="n">
        <v>5</v>
      </c>
      <c r="E57" s="27"/>
      <c r="F57" s="27"/>
      <c r="G57" s="27"/>
      <c r="H57" s="9"/>
      <c r="I57" s="9" t="s">
        <v>437</v>
      </c>
      <c r="J57" s="9" t="s">
        <v>512</v>
      </c>
    </row>
    <row r="58" customFormat="false" ht="15" hidden="false" customHeight="false" outlineLevel="0" collapsed="false">
      <c r="A58" s="9" t="s">
        <v>547</v>
      </c>
      <c r="B58" s="8" t="s">
        <v>518</v>
      </c>
      <c r="C58" s="9" t="s">
        <v>548</v>
      </c>
      <c r="D58" s="21" t="n">
        <v>5</v>
      </c>
      <c r="E58" s="27"/>
      <c r="F58" s="27"/>
      <c r="G58" s="27"/>
      <c r="H58" s="9"/>
      <c r="I58" s="9" t="s">
        <v>437</v>
      </c>
      <c r="J58" s="9" t="s">
        <v>512</v>
      </c>
    </row>
    <row r="59" customFormat="false" ht="15" hidden="false" customHeight="false" outlineLevel="0" collapsed="false">
      <c r="A59" s="24" t="s">
        <v>549</v>
      </c>
      <c r="B59" s="24"/>
      <c r="C59" s="24"/>
      <c r="D59" s="24"/>
      <c r="E59" s="24"/>
      <c r="F59" s="24"/>
      <c r="G59" s="24"/>
      <c r="H59" s="24" t="s">
        <v>535</v>
      </c>
      <c r="I59" s="24" t="s">
        <v>509</v>
      </c>
      <c r="J59" s="24" t="s">
        <v>512</v>
      </c>
    </row>
    <row r="60" customFormat="false" ht="15" hidden="false" customHeight="false" outlineLevel="0" collapsed="false">
      <c r="A60" s="30" t="s">
        <v>550</v>
      </c>
      <c r="B60" s="29" t="s">
        <v>409</v>
      </c>
      <c r="C60" s="30" t="s">
        <v>551</v>
      </c>
      <c r="D60" s="32" t="n">
        <v>5</v>
      </c>
      <c r="E60" s="31"/>
      <c r="F60" s="31"/>
      <c r="G60" s="31"/>
      <c r="H60" s="30" t="s">
        <v>552</v>
      </c>
      <c r="I60" s="30" t="s">
        <v>453</v>
      </c>
      <c r="J60" s="30" t="s">
        <v>515</v>
      </c>
    </row>
    <row r="61" customFormat="false" ht="15" hidden="false" customHeight="false" outlineLevel="0" collapsed="false">
      <c r="A61" s="9" t="s">
        <v>553</v>
      </c>
      <c r="B61" s="8" t="s">
        <v>409</v>
      </c>
      <c r="C61" s="9" t="s">
        <v>554</v>
      </c>
      <c r="D61" s="21" t="n">
        <v>5</v>
      </c>
      <c r="E61" s="27"/>
      <c r="F61" s="27"/>
      <c r="G61" s="27"/>
      <c r="H61" s="9"/>
      <c r="I61" s="9" t="s">
        <v>437</v>
      </c>
      <c r="J61" s="9" t="s">
        <v>515</v>
      </c>
    </row>
    <row r="62" customFormat="false" ht="15" hidden="false" customHeight="false" outlineLevel="0" collapsed="false">
      <c r="A62" s="9" t="s">
        <v>555</v>
      </c>
      <c r="B62" s="8" t="s">
        <v>556</v>
      </c>
      <c r="C62" s="9"/>
      <c r="D62" s="21" t="n">
        <v>5</v>
      </c>
      <c r="E62" s="27"/>
      <c r="F62" s="27"/>
      <c r="G62" s="27"/>
      <c r="H62" s="9"/>
      <c r="I62" s="9" t="s">
        <v>437</v>
      </c>
      <c r="J62" s="9"/>
    </row>
    <row r="63" customFormat="false" ht="15" hidden="false" customHeight="false" outlineLevel="0" collapsed="false">
      <c r="A63" s="24" t="s">
        <v>557</v>
      </c>
      <c r="B63" s="24"/>
      <c r="C63" s="24"/>
      <c r="D63" s="24"/>
      <c r="E63" s="24"/>
      <c r="F63" s="24"/>
      <c r="G63" s="24"/>
      <c r="H63" s="24" t="s">
        <v>535</v>
      </c>
      <c r="I63" s="24" t="s">
        <v>509</v>
      </c>
      <c r="J63" s="24"/>
    </row>
    <row r="64" customFormat="false" ht="15" hidden="false" customHeight="false" outlineLevel="0" collapsed="false">
      <c r="A64" s="9" t="s">
        <v>558</v>
      </c>
      <c r="B64" s="8" t="s">
        <v>559</v>
      </c>
      <c r="C64" s="9"/>
      <c r="D64" s="27"/>
      <c r="E64" s="27"/>
      <c r="F64" s="27"/>
      <c r="G64" s="27"/>
      <c r="H64" s="9" t="s">
        <v>560</v>
      </c>
      <c r="I64" s="9" t="s">
        <v>437</v>
      </c>
      <c r="J64" s="9"/>
    </row>
    <row r="65" customFormat="false" ht="15" hidden="false" customHeight="false" outlineLevel="0" collapsed="false">
      <c r="A65" s="24" t="s">
        <v>561</v>
      </c>
      <c r="B65" s="24"/>
      <c r="C65" s="24"/>
      <c r="D65" s="24"/>
      <c r="E65" s="24"/>
      <c r="F65" s="24"/>
      <c r="G65" s="24"/>
      <c r="H65" s="24" t="s">
        <v>535</v>
      </c>
      <c r="I65" s="24" t="s">
        <v>509</v>
      </c>
      <c r="J65" s="24"/>
    </row>
    <row r="66" customFormat="false" ht="15" hidden="false" customHeight="false" outlineLevel="0" collapsed="false">
      <c r="A66" s="9" t="s">
        <v>562</v>
      </c>
      <c r="B66" s="8" t="s">
        <v>563</v>
      </c>
      <c r="C66" s="9"/>
      <c r="D66" s="21" t="n">
        <v>5</v>
      </c>
      <c r="E66" s="27"/>
      <c r="F66" s="27"/>
      <c r="G66" s="27"/>
      <c r="H66" s="9"/>
      <c r="I66" s="9" t="s">
        <v>437</v>
      </c>
      <c r="J66" s="9"/>
    </row>
    <row r="67" customFormat="false" ht="15" hidden="false" customHeight="false" outlineLevel="0" collapsed="false">
      <c r="A67" s="9" t="s">
        <v>564</v>
      </c>
      <c r="B67" s="8" t="s">
        <v>559</v>
      </c>
      <c r="C67" s="9"/>
      <c r="D67" s="27"/>
      <c r="E67" s="27"/>
      <c r="F67" s="27"/>
      <c r="G67" s="27"/>
      <c r="H67" s="9" t="s">
        <v>560</v>
      </c>
      <c r="I67" s="9" t="s">
        <v>437</v>
      </c>
      <c r="J67" s="9"/>
    </row>
    <row r="68" customFormat="false" ht="15" hidden="false" customHeight="false" outlineLevel="0" collapsed="false">
      <c r="A68" s="30" t="s">
        <v>565</v>
      </c>
      <c r="B68" s="29" t="s">
        <v>559</v>
      </c>
      <c r="C68" s="30"/>
      <c r="D68" s="31"/>
      <c r="E68" s="31"/>
      <c r="F68" s="31"/>
      <c r="G68" s="31"/>
      <c r="H68" s="30" t="s">
        <v>566</v>
      </c>
      <c r="I68" s="30" t="s">
        <v>453</v>
      </c>
      <c r="J68" s="30"/>
    </row>
    <row r="69" customFormat="false" ht="15" hidden="false" customHeight="false" outlineLevel="0" collapsed="false">
      <c r="A69" s="24" t="s">
        <v>567</v>
      </c>
      <c r="B69" s="24"/>
      <c r="C69" s="24"/>
      <c r="D69" s="24"/>
      <c r="E69" s="24"/>
      <c r="F69" s="24"/>
      <c r="G69" s="24"/>
      <c r="H69" s="24" t="s">
        <v>568</v>
      </c>
      <c r="I69" s="24" t="s">
        <v>509</v>
      </c>
      <c r="J69" s="24"/>
    </row>
    <row r="70" customFormat="false" ht="15" hidden="false" customHeight="false" outlineLevel="0" collapsed="false">
      <c r="A70" s="24" t="s">
        <v>569</v>
      </c>
      <c r="B70" s="24"/>
      <c r="C70" s="24"/>
      <c r="D70" s="24"/>
      <c r="E70" s="24"/>
      <c r="F70" s="24"/>
      <c r="G70" s="24"/>
      <c r="H70" s="24" t="s">
        <v>568</v>
      </c>
      <c r="I70" s="24" t="s">
        <v>509</v>
      </c>
      <c r="J70" s="24"/>
    </row>
    <row r="71" customFormat="false" ht="15" hidden="false" customHeight="false" outlineLevel="0" collapsed="false">
      <c r="A71" s="24" t="s">
        <v>570</v>
      </c>
      <c r="B71" s="24"/>
      <c r="C71" s="24"/>
      <c r="D71" s="24"/>
      <c r="E71" s="24"/>
      <c r="F71" s="24"/>
      <c r="G71" s="24"/>
      <c r="H71" s="24" t="s">
        <v>568</v>
      </c>
      <c r="I71" s="24" t="s">
        <v>509</v>
      </c>
      <c r="J71" s="24" t="s">
        <v>515</v>
      </c>
    </row>
    <row r="72" customFormat="false" ht="15" hidden="false" customHeight="false" outlineLevel="0" collapsed="false">
      <c r="A72" s="24" t="s">
        <v>571</v>
      </c>
      <c r="B72" s="24"/>
      <c r="C72" s="24"/>
      <c r="D72" s="24"/>
      <c r="E72" s="24"/>
      <c r="F72" s="24"/>
      <c r="G72" s="24"/>
      <c r="H72" s="24" t="s">
        <v>568</v>
      </c>
      <c r="I72" s="24" t="s">
        <v>509</v>
      </c>
      <c r="J72" s="24" t="s">
        <v>515</v>
      </c>
    </row>
    <row r="73" customFormat="false" ht="15" hidden="false" customHeight="false" outlineLevel="0" collapsed="false">
      <c r="A73" s="24" t="s">
        <v>572</v>
      </c>
      <c r="B73" s="24"/>
      <c r="C73" s="24"/>
      <c r="D73" s="24"/>
      <c r="E73" s="24"/>
      <c r="F73" s="24"/>
      <c r="G73" s="24"/>
      <c r="H73" s="24" t="s">
        <v>568</v>
      </c>
      <c r="I73" s="24" t="s">
        <v>509</v>
      </c>
      <c r="J73" s="24"/>
    </row>
    <row r="74" customFormat="false" ht="15" hidden="false" customHeight="false" outlineLevel="0" collapsed="false">
      <c r="A74" s="24" t="s">
        <v>573</v>
      </c>
      <c r="B74" s="24"/>
      <c r="C74" s="24"/>
      <c r="D74" s="24"/>
      <c r="E74" s="24"/>
      <c r="F74" s="24"/>
      <c r="G74" s="24"/>
      <c r="H74" s="24" t="s">
        <v>568</v>
      </c>
      <c r="I74" s="24" t="s">
        <v>509</v>
      </c>
      <c r="J74" s="24"/>
    </row>
    <row r="75" customFormat="false" ht="15" hidden="false" customHeight="false" outlineLevel="0" collapsed="false">
      <c r="A75" s="24" t="s">
        <v>574</v>
      </c>
      <c r="B75" s="24"/>
      <c r="C75" s="24"/>
      <c r="D75" s="24"/>
      <c r="E75" s="24"/>
      <c r="F75" s="24"/>
      <c r="G75" s="24"/>
      <c r="H75" s="24" t="s">
        <v>568</v>
      </c>
      <c r="I75" s="24" t="s">
        <v>509</v>
      </c>
      <c r="J75" s="24"/>
    </row>
    <row r="76" customFormat="false" ht="15" hidden="false" customHeight="false" outlineLevel="0" collapsed="false">
      <c r="A76" s="9" t="s">
        <v>575</v>
      </c>
      <c r="B76" s="8" t="s">
        <v>576</v>
      </c>
      <c r="C76" s="9"/>
      <c r="D76" s="27"/>
      <c r="E76" s="27"/>
      <c r="F76" s="27"/>
      <c r="G76" s="27"/>
      <c r="H76" s="9"/>
      <c r="I76" s="9" t="s">
        <v>437</v>
      </c>
      <c r="J76" s="9"/>
    </row>
    <row r="77" customFormat="false" ht="15" hidden="false" customHeight="false" outlineLevel="0" collapsed="false">
      <c r="A77" s="9" t="s">
        <v>577</v>
      </c>
      <c r="B77" s="8" t="s">
        <v>578</v>
      </c>
      <c r="C77" s="9"/>
      <c r="D77" s="21" t="n">
        <v>5</v>
      </c>
      <c r="E77" s="27"/>
      <c r="F77" s="27"/>
      <c r="G77" s="27"/>
      <c r="H77" s="9"/>
      <c r="I77" s="9" t="s">
        <v>437</v>
      </c>
      <c r="J77" s="9" t="s">
        <v>515</v>
      </c>
    </row>
    <row r="78" customFormat="false" ht="15" hidden="false" customHeight="false" outlineLevel="0" collapsed="false">
      <c r="A78" s="24" t="s">
        <v>579</v>
      </c>
      <c r="B78" s="24"/>
      <c r="C78" s="24"/>
      <c r="D78" s="24"/>
      <c r="E78" s="24"/>
      <c r="F78" s="24"/>
      <c r="G78" s="24"/>
      <c r="H78" s="24" t="s">
        <v>508</v>
      </c>
      <c r="I78" s="24" t="s">
        <v>509</v>
      </c>
      <c r="J78" s="24"/>
    </row>
    <row r="79" customFormat="false" ht="15" hidden="false" customHeight="false" outlineLevel="0" collapsed="false">
      <c r="A79" s="24" t="s">
        <v>580</v>
      </c>
      <c r="B79" s="24"/>
      <c r="C79" s="24"/>
      <c r="D79" s="24"/>
      <c r="E79" s="24"/>
      <c r="F79" s="24"/>
      <c r="G79" s="24"/>
      <c r="H79" s="24" t="s">
        <v>508</v>
      </c>
      <c r="I79" s="24" t="s">
        <v>509</v>
      </c>
      <c r="J79" s="24"/>
    </row>
    <row r="80" customFormat="false" ht="15" hidden="false" customHeight="false" outlineLevel="0" collapsed="false">
      <c r="A80" s="24" t="s">
        <v>581</v>
      </c>
      <c r="B80" s="24"/>
      <c r="C80" s="24"/>
      <c r="D80" s="24"/>
      <c r="E80" s="24"/>
      <c r="F80" s="24"/>
      <c r="G80" s="24"/>
      <c r="H80" s="24" t="s">
        <v>508</v>
      </c>
      <c r="I80" s="24" t="s">
        <v>509</v>
      </c>
      <c r="J80" s="24"/>
    </row>
    <row r="81" customFormat="false" ht="15" hidden="false" customHeight="false" outlineLevel="0" collapsed="false">
      <c r="A81" s="24" t="s">
        <v>582</v>
      </c>
      <c r="B81" s="24"/>
      <c r="C81" s="24"/>
      <c r="D81" s="24"/>
      <c r="E81" s="24"/>
      <c r="F81" s="24"/>
      <c r="G81" s="24"/>
      <c r="H81" s="24" t="s">
        <v>508</v>
      </c>
      <c r="I81" s="24" t="s">
        <v>509</v>
      </c>
      <c r="J81" s="24"/>
    </row>
    <row r="82" customFormat="false" ht="15" hidden="false" customHeight="false" outlineLevel="0" collapsed="false">
      <c r="A82" s="24" t="s">
        <v>583</v>
      </c>
      <c r="B82" s="24"/>
      <c r="C82" s="24"/>
      <c r="D82" s="24"/>
      <c r="E82" s="24"/>
      <c r="F82" s="24"/>
      <c r="G82" s="24"/>
      <c r="H82" s="24" t="s">
        <v>508</v>
      </c>
      <c r="I82" s="24" t="s">
        <v>509</v>
      </c>
      <c r="J82" s="24"/>
    </row>
    <row r="83" customFormat="false" ht="15" hidden="false" customHeight="false" outlineLevel="0" collapsed="false">
      <c r="A83" s="24" t="s">
        <v>584</v>
      </c>
      <c r="B83" s="24"/>
      <c r="C83" s="24"/>
      <c r="D83" s="24"/>
      <c r="E83" s="24"/>
      <c r="F83" s="24"/>
      <c r="G83" s="24"/>
      <c r="H83" s="24" t="s">
        <v>508</v>
      </c>
      <c r="I83" s="24" t="s">
        <v>509</v>
      </c>
      <c r="J83" s="24"/>
    </row>
  </sheetData>
  <autoFilter ref="A3:J83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54"/>
  </cols>
  <sheetData>
    <row r="1" customFormat="false" ht="17.35" hidden="false" customHeight="false" outlineLevel="0" collapsed="false">
      <c r="A1" s="4" t="s">
        <v>585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30" hidden="false" customHeight="true" outlineLevel="0" collapsed="false">
      <c r="A2" s="5" t="s">
        <v>586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customFormat="false" ht="42" hidden="false" customHeight="true" outlineLevel="0" collapsed="false">
      <c r="A3" s="6" t="s">
        <v>587</v>
      </c>
      <c r="B3" s="6" t="s">
        <v>588</v>
      </c>
      <c r="C3" s="6" t="s">
        <v>589</v>
      </c>
      <c r="D3" s="6" t="s">
        <v>590</v>
      </c>
      <c r="E3" s="6" t="s">
        <v>591</v>
      </c>
      <c r="F3" s="6" t="s">
        <v>592</v>
      </c>
      <c r="G3" s="6" t="s">
        <v>593</v>
      </c>
      <c r="H3" s="6" t="s">
        <v>198</v>
      </c>
      <c r="I3" s="6" t="s">
        <v>594</v>
      </c>
      <c r="J3" s="6" t="s">
        <v>595</v>
      </c>
      <c r="K3" s="6" t="s">
        <v>45</v>
      </c>
    </row>
    <row r="4" customFormat="false" ht="15" hidden="false" customHeight="false" outlineLevel="0" collapsed="false">
      <c r="A4" s="8" t="s">
        <v>71</v>
      </c>
      <c r="B4" s="7" t="n">
        <v>21</v>
      </c>
      <c r="C4" s="7" t="n">
        <v>38</v>
      </c>
      <c r="D4" s="9" t="s">
        <v>236</v>
      </c>
      <c r="E4" s="10" t="n">
        <f aca="false">'1 Archive qoliplar'!T24</f>
        <v>5.75</v>
      </c>
      <c r="F4" s="10" t="n">
        <f aca="false">'2 Kitobcha (menejer)'!I41</f>
        <v>5.7</v>
      </c>
      <c r="G4" s="33" t="n">
        <f aca="false">IF(F4="","",F4-E4)</f>
        <v>-0.0499999999999998</v>
      </c>
      <c r="H4" s="7" t="str">
        <f aca="false">IF(F4="","menejerda kg yo'q",IF(ABS(G4)&gt;0.3,"farq katta","yaqin"))</f>
        <v>yaqin</v>
      </c>
      <c r="I4" s="9" t="s">
        <v>210</v>
      </c>
      <c r="J4" s="9" t="s">
        <v>210</v>
      </c>
      <c r="K4" s="9"/>
    </row>
    <row r="5" customFormat="false" ht="15" hidden="false" customHeight="false" outlineLevel="0" collapsed="false">
      <c r="A5" s="8" t="s">
        <v>74</v>
      </c>
      <c r="B5" s="7" t="n">
        <v>22</v>
      </c>
      <c r="C5" s="7" t="n">
        <v>4</v>
      </c>
      <c r="D5" s="9" t="s">
        <v>93</v>
      </c>
      <c r="E5" s="10" t="n">
        <f aca="false">'1 Archive qoliplar'!T25</f>
        <v>5.81</v>
      </c>
      <c r="F5" s="10" t="n">
        <f aca="false">'2 Kitobcha (menejer)'!I7</f>
        <v>5.5</v>
      </c>
      <c r="G5" s="33" t="n">
        <f aca="false">IF(F5="","",F5-E5)</f>
        <v>-0.31</v>
      </c>
      <c r="H5" s="7" t="str">
        <f aca="false">IF(F5="","menejerda kg yo'q",IF(ABS(G5)&gt;0.3,"farq katta","yaqin"))</f>
        <v>farq katta</v>
      </c>
      <c r="I5" s="9" t="s">
        <v>210</v>
      </c>
      <c r="J5" s="9" t="s">
        <v>210</v>
      </c>
      <c r="K5" s="9"/>
    </row>
    <row r="6" customFormat="false" ht="15" hidden="false" customHeight="false" outlineLevel="0" collapsed="false">
      <c r="A6" s="8" t="s">
        <v>54</v>
      </c>
      <c r="B6" s="7" t="n">
        <v>4</v>
      </c>
      <c r="C6" s="7" t="n">
        <v>5</v>
      </c>
      <c r="D6" s="9" t="s">
        <v>200</v>
      </c>
      <c r="E6" s="10" t="n">
        <f aca="false">'1 Archive qoliplar'!T7</f>
        <v>4.07</v>
      </c>
      <c r="F6" s="10" t="n">
        <f aca="false">'2 Kitobcha (menejer)'!I8</f>
        <v>3.8</v>
      </c>
      <c r="G6" s="33" t="n">
        <f aca="false">IF(F6="","",F6-E6)</f>
        <v>-0.27</v>
      </c>
      <c r="H6" s="7" t="str">
        <f aca="false">IF(F6="","menejerda kg yo'q",IF(ABS(G6)&gt;0.3,"farq katta","yaqin"))</f>
        <v>yaqin</v>
      </c>
      <c r="I6" s="9" t="s">
        <v>207</v>
      </c>
      <c r="J6" s="9" t="s">
        <v>207</v>
      </c>
      <c r="K6" s="9"/>
    </row>
    <row r="7" customFormat="false" ht="15" hidden="false" customHeight="false" outlineLevel="0" collapsed="false">
      <c r="A7" s="8" t="s">
        <v>62</v>
      </c>
      <c r="B7" s="7" t="n">
        <v>12</v>
      </c>
      <c r="C7" s="7" t="n">
        <v>2</v>
      </c>
      <c r="D7" s="9" t="s">
        <v>206</v>
      </c>
      <c r="E7" s="10" t="n">
        <f aca="false">'1 Archive qoliplar'!T15</f>
        <v>3.63</v>
      </c>
      <c r="F7" s="10" t="n">
        <f aca="false">'2 Kitobcha (menejer)'!I5</f>
        <v>3.6</v>
      </c>
      <c r="G7" s="33" t="n">
        <f aca="false">IF(F7="","",F7-E7)</f>
        <v>-0.0299999999999998</v>
      </c>
      <c r="H7" s="7" t="str">
        <f aca="false">IF(F7="","menejerda kg yo'q",IF(ABS(G7)&gt;0.3,"farq katta","yaqin"))</f>
        <v>yaqin</v>
      </c>
      <c r="I7" s="9" t="s">
        <v>207</v>
      </c>
      <c r="J7" s="9" t="s">
        <v>207</v>
      </c>
      <c r="K7" s="9"/>
    </row>
    <row r="8" customFormat="false" ht="15" hidden="false" customHeight="false" outlineLevel="0" collapsed="false">
      <c r="A8" s="8" t="s">
        <v>61</v>
      </c>
      <c r="B8" s="7" t="n">
        <v>11</v>
      </c>
      <c r="C8" s="7" t="n">
        <v>71</v>
      </c>
      <c r="D8" s="9" t="s">
        <v>61</v>
      </c>
      <c r="E8" s="10" t="n">
        <f aca="false">'1 Archive qoliplar'!T14</f>
        <v>3.52</v>
      </c>
      <c r="F8" s="10" t="n">
        <f aca="false">'2 Kitobcha (menejer)'!I74</f>
        <v>3.5</v>
      </c>
      <c r="G8" s="33" t="n">
        <f aca="false">IF(F8="","",F8-E8)</f>
        <v>-0.02</v>
      </c>
      <c r="H8" s="7" t="str">
        <f aca="false">IF(F8="","menejerda kg yo'q",IF(ABS(G8)&gt;0.3,"farq katta","yaqin"))</f>
        <v>yaqin</v>
      </c>
      <c r="I8" s="9" t="s">
        <v>207</v>
      </c>
      <c r="J8" s="9"/>
      <c r="K8" s="9"/>
    </row>
    <row r="9" customFormat="false" ht="22.35" hidden="false" customHeight="false" outlineLevel="0" collapsed="false">
      <c r="A9" s="8" t="s">
        <v>55</v>
      </c>
      <c r="B9" s="7" t="n">
        <v>5</v>
      </c>
      <c r="C9" s="7" t="n">
        <v>72</v>
      </c>
      <c r="D9" s="9" t="s">
        <v>55</v>
      </c>
      <c r="E9" s="10" t="n">
        <f aca="false">'1 Archive qoliplar'!T8</f>
        <v>3.74</v>
      </c>
      <c r="F9" s="20"/>
      <c r="G9" s="33" t="str">
        <f aca="false">IF(F9="","",F9-E9)</f>
        <v/>
      </c>
      <c r="H9" s="7" t="str">
        <f aca="false">IF(F9="","menejerda kg yo'q",IF(ABS(G9)&gt;0.3,"farq katta","yaqin"))</f>
        <v>menejerda kg yo'q</v>
      </c>
      <c r="I9" s="9" t="s">
        <v>207</v>
      </c>
      <c r="J9" s="9" t="s">
        <v>361</v>
      </c>
      <c r="K9" s="9"/>
    </row>
    <row r="10" customFormat="false" ht="15" hidden="false" customHeight="false" outlineLevel="0" collapsed="false">
      <c r="A10" s="8" t="s">
        <v>60</v>
      </c>
      <c r="B10" s="7" t="n">
        <v>10</v>
      </c>
      <c r="C10" s="7" t="n">
        <v>74</v>
      </c>
      <c r="D10" s="9" t="s">
        <v>60</v>
      </c>
      <c r="E10" s="10" t="n">
        <f aca="false">'1 Archive qoliplar'!T13</f>
        <v>4.125</v>
      </c>
      <c r="F10" s="10" t="n">
        <f aca="false">'2 Kitobcha (menejer)'!I77</f>
        <v>3.8</v>
      </c>
      <c r="G10" s="33" t="n">
        <f aca="false">IF(F10="","",F10-E10)</f>
        <v>-0.325</v>
      </c>
      <c r="H10" s="7" t="str">
        <f aca="false">IF(F10="","menejerda kg yo'q",IF(ABS(G10)&gt;0.3,"farq katta","yaqin"))</f>
        <v>farq katta</v>
      </c>
      <c r="I10" s="9" t="s">
        <v>207</v>
      </c>
      <c r="J10" s="9" t="s">
        <v>207</v>
      </c>
      <c r="K10" s="9"/>
    </row>
    <row r="11" customFormat="false" ht="15" hidden="false" customHeight="false" outlineLevel="0" collapsed="false">
      <c r="A11" s="8" t="s">
        <v>59</v>
      </c>
      <c r="B11" s="7" t="n">
        <v>9</v>
      </c>
      <c r="C11" s="7" t="n">
        <v>75</v>
      </c>
      <c r="D11" s="9" t="s">
        <v>365</v>
      </c>
      <c r="E11" s="10" t="n">
        <f aca="false">'1 Archive qoliplar'!T12</f>
        <v>3.96</v>
      </c>
      <c r="F11" s="10" t="n">
        <f aca="false">'2 Kitobcha (menejer)'!I78</f>
        <v>3.6</v>
      </c>
      <c r="G11" s="33" t="n">
        <f aca="false">IF(F11="","",F11-E11)</f>
        <v>-0.36</v>
      </c>
      <c r="H11" s="7" t="str">
        <f aca="false">IF(F11="","menejerda kg yo'q",IF(ABS(G11)&gt;0.3,"farq katta","yaqin"))</f>
        <v>farq katta</v>
      </c>
      <c r="I11" s="9" t="s">
        <v>207</v>
      </c>
      <c r="J11" s="9" t="s">
        <v>207</v>
      </c>
      <c r="K11" s="9"/>
    </row>
    <row r="12" customFormat="false" ht="15" hidden="false" customHeight="false" outlineLevel="0" collapsed="false">
      <c r="A12" s="8" t="s">
        <v>70</v>
      </c>
      <c r="B12" s="7" t="n">
        <v>20</v>
      </c>
      <c r="C12" s="7" t="n">
        <v>76</v>
      </c>
      <c r="D12" s="9" t="s">
        <v>366</v>
      </c>
      <c r="E12" s="10" t="n">
        <f aca="false">'1 Archive qoliplar'!T23</f>
        <v>4.675</v>
      </c>
      <c r="F12" s="10" t="n">
        <f aca="false">'2 Kitobcha (menejer)'!I79</f>
        <v>4.6</v>
      </c>
      <c r="G12" s="33" t="n">
        <f aca="false">IF(F12="","",F12-E12)</f>
        <v>-0.0750000000000002</v>
      </c>
      <c r="H12" s="7" t="str">
        <f aca="false">IF(F12="","menejerda kg yo'q",IF(ABS(G12)&gt;0.3,"farq katta","yaqin"))</f>
        <v>yaqin</v>
      </c>
      <c r="I12" s="9" t="s">
        <v>207</v>
      </c>
      <c r="J12" s="9" t="s">
        <v>207</v>
      </c>
      <c r="K12" s="9"/>
    </row>
    <row r="13" customFormat="false" ht="15" hidden="false" customHeight="false" outlineLevel="0" collapsed="false">
      <c r="A13" s="8" t="s">
        <v>64</v>
      </c>
      <c r="B13" s="7" t="n">
        <v>14</v>
      </c>
      <c r="C13" s="7" t="n">
        <v>77</v>
      </c>
      <c r="D13" s="9" t="s">
        <v>64</v>
      </c>
      <c r="E13" s="10" t="n">
        <f aca="false">'1 Archive qoliplar'!T17</f>
        <v>4.125</v>
      </c>
      <c r="F13" s="10" t="n">
        <f aca="false">'2 Kitobcha (menejer)'!I80</f>
        <v>4.1</v>
      </c>
      <c r="G13" s="33" t="n">
        <f aca="false">IF(F13="","",F13-E13)</f>
        <v>-0.0250000000000004</v>
      </c>
      <c r="H13" s="7" t="str">
        <f aca="false">IF(F13="","menejerda kg yo'q",IF(ABS(G13)&gt;0.3,"farq katta","yaqin"))</f>
        <v>yaqin</v>
      </c>
      <c r="I13" s="9" t="s">
        <v>207</v>
      </c>
      <c r="J13" s="9" t="s">
        <v>207</v>
      </c>
      <c r="K13" s="9"/>
    </row>
    <row r="14" customFormat="false" ht="15" hidden="false" customHeight="false" outlineLevel="0" collapsed="false">
      <c r="A14" s="8" t="s">
        <v>57</v>
      </c>
      <c r="B14" s="7" t="n">
        <v>7</v>
      </c>
      <c r="C14" s="7" t="n">
        <v>78</v>
      </c>
      <c r="D14" s="9" t="s">
        <v>367</v>
      </c>
      <c r="E14" s="10" t="n">
        <f aca="false">'1 Archive qoliplar'!T10</f>
        <v>4.125</v>
      </c>
      <c r="F14" s="10" t="n">
        <f aca="false">'2 Kitobcha (menejer)'!I81</f>
        <v>4.1</v>
      </c>
      <c r="G14" s="33" t="n">
        <f aca="false">IF(F14="","",F14-E14)</f>
        <v>-0.0250000000000004</v>
      </c>
      <c r="H14" s="7" t="str">
        <f aca="false">IF(F14="","menejerda kg yo'q",IF(ABS(G14)&gt;0.3,"farq katta","yaqin"))</f>
        <v>yaqin</v>
      </c>
      <c r="I14" s="9" t="s">
        <v>207</v>
      </c>
      <c r="J14" s="9" t="s">
        <v>207</v>
      </c>
      <c r="K14" s="9" t="s">
        <v>368</v>
      </c>
    </row>
    <row r="15" customFormat="false" ht="15" hidden="false" customHeight="false" outlineLevel="0" collapsed="false">
      <c r="A15" s="8" t="s">
        <v>67</v>
      </c>
      <c r="B15" s="7" t="n">
        <v>17</v>
      </c>
      <c r="C15" s="7" t="n">
        <v>101</v>
      </c>
      <c r="D15" s="9" t="s">
        <v>67</v>
      </c>
      <c r="E15" s="10" t="n">
        <f aca="false">'1 Archive qoliplar'!T20</f>
        <v>4.18</v>
      </c>
      <c r="F15" s="10" t="n">
        <f aca="false">'2 Kitobcha (menejer)'!I104</f>
        <v>4.2</v>
      </c>
      <c r="G15" s="33" t="n">
        <f aca="false">IF(F15="","",F15-E15)</f>
        <v>0.0200000000000005</v>
      </c>
      <c r="H15" s="7" t="str">
        <f aca="false">IF(F15="","menejerda kg yo'q",IF(ABS(G15)&gt;0.3,"farq katta","yaqin"))</f>
        <v>yaqin</v>
      </c>
      <c r="I15" s="9" t="s">
        <v>207</v>
      </c>
      <c r="J15" s="9" t="s">
        <v>207</v>
      </c>
      <c r="K15" s="9"/>
    </row>
    <row r="16" customFormat="false" ht="15" hidden="false" customHeight="false" outlineLevel="0" collapsed="false">
      <c r="A16" s="8" t="s">
        <v>76</v>
      </c>
      <c r="B16" s="7" t="n">
        <v>23</v>
      </c>
      <c r="C16" s="7" t="n">
        <v>47</v>
      </c>
      <c r="D16" s="9" t="s">
        <v>211</v>
      </c>
      <c r="E16" s="10" t="n">
        <f aca="false">'1 Archive qoliplar'!T26</f>
        <v>4.83</v>
      </c>
      <c r="F16" s="10" t="n">
        <f aca="false">'2 Kitobcha (menejer)'!I50</f>
        <v>6.1</v>
      </c>
      <c r="G16" s="33" t="n">
        <f aca="false">IF(F16="","",F16-E16)</f>
        <v>1.27</v>
      </c>
      <c r="H16" s="7" t="str">
        <f aca="false">IF(F16="","menejerda kg yo'q",IF(ABS(G16)&gt;0.3,"farq katta","yaqin"))</f>
        <v>farq katta</v>
      </c>
      <c r="I16" s="9" t="s">
        <v>596</v>
      </c>
      <c r="J16" s="9" t="s">
        <v>311</v>
      </c>
      <c r="K16" s="9" t="s">
        <v>225</v>
      </c>
    </row>
    <row r="17" customFormat="false" ht="15" hidden="false" customHeight="false" outlineLevel="0" collapsed="false">
      <c r="A17" s="8" t="s">
        <v>108</v>
      </c>
      <c r="B17" s="7" t="n">
        <v>39</v>
      </c>
      <c r="C17" s="7" t="n">
        <v>24</v>
      </c>
      <c r="D17" s="9" t="s">
        <v>259</v>
      </c>
      <c r="E17" s="10" t="n">
        <f aca="false">'1 Archive qoliplar'!T59</f>
        <v>5.17</v>
      </c>
      <c r="F17" s="10" t="n">
        <f aca="false">'2 Kitobcha (menejer)'!I27</f>
        <v>5.3</v>
      </c>
      <c r="G17" s="33" t="n">
        <f aca="false">IF(F17="","",F17-E17)</f>
        <v>0.13</v>
      </c>
      <c r="H17" s="7" t="str">
        <f aca="false">IF(F17="","menejerda kg yo'q",IF(ABS(G17)&gt;0.3,"farq katta","yaqin"))</f>
        <v>yaqin</v>
      </c>
      <c r="I17" s="9" t="s">
        <v>297</v>
      </c>
      <c r="J17" s="9" t="s">
        <v>262</v>
      </c>
      <c r="K17" s="9" t="s">
        <v>112</v>
      </c>
    </row>
    <row r="18" customFormat="false" ht="15" hidden="false" customHeight="false" outlineLevel="0" collapsed="false">
      <c r="A18" s="8" t="s">
        <v>100</v>
      </c>
      <c r="B18" s="7" t="n">
        <v>36</v>
      </c>
      <c r="C18" s="7" t="n">
        <v>27</v>
      </c>
      <c r="D18" s="9" t="s">
        <v>270</v>
      </c>
      <c r="E18" s="10" t="n">
        <f aca="false">'1 Archive qoliplar'!T51</f>
        <v>4.675</v>
      </c>
      <c r="F18" s="10" t="n">
        <f aca="false">'2 Kitobcha (menejer)'!I30</f>
        <v>4.9</v>
      </c>
      <c r="G18" s="33" t="n">
        <f aca="false">IF(F18="","",F18-E18)</f>
        <v>0.225000000000001</v>
      </c>
      <c r="H18" s="7" t="str">
        <f aca="false">IF(F18="","menejerda kg yo'q",IF(ABS(G18)&gt;0.3,"farq katta","yaqin"))</f>
        <v>yaqin</v>
      </c>
      <c r="I18" s="9" t="s">
        <v>597</v>
      </c>
      <c r="J18" s="9" t="s">
        <v>273</v>
      </c>
      <c r="K18" s="9"/>
    </row>
    <row r="19" customFormat="false" ht="15" hidden="false" customHeight="false" outlineLevel="0" collapsed="false">
      <c r="A19" s="8" t="s">
        <v>106</v>
      </c>
      <c r="B19" s="7" t="n">
        <v>38</v>
      </c>
      <c r="C19" s="7" t="n">
        <v>50</v>
      </c>
      <c r="D19" s="9" t="s">
        <v>211</v>
      </c>
      <c r="E19" s="10" t="n">
        <f aca="false">'1 Archive qoliplar'!T57</f>
        <v>4.65</v>
      </c>
      <c r="F19" s="10" t="n">
        <f aca="false">'2 Kitobcha (menejer)'!I53</f>
        <v>5.2</v>
      </c>
      <c r="G19" s="33" t="n">
        <f aca="false">IF(F19="","",F19-E19)</f>
        <v>0.55</v>
      </c>
      <c r="H19" s="7" t="str">
        <f aca="false">IF(F19="","menejerda kg yo'q",IF(ABS(G19)&gt;0.3,"farq katta","yaqin"))</f>
        <v>farq katta</v>
      </c>
      <c r="I19" s="9" t="s">
        <v>598</v>
      </c>
      <c r="J19" s="9" t="s">
        <v>257</v>
      </c>
      <c r="K19" s="9"/>
    </row>
    <row r="20" customFormat="false" ht="15" hidden="false" customHeight="false" outlineLevel="0" collapsed="false">
      <c r="A20" s="8" t="s">
        <v>163</v>
      </c>
      <c r="B20" s="7" t="n">
        <v>59</v>
      </c>
      <c r="C20" s="7" t="n">
        <v>25</v>
      </c>
      <c r="D20" s="9" t="s">
        <v>263</v>
      </c>
      <c r="E20" s="10" t="n">
        <f aca="false">'1 Archive qoliplar'!T102</f>
        <v>4.925</v>
      </c>
      <c r="F20" s="10" t="n">
        <f aca="false">'2 Kitobcha (menejer)'!I28</f>
        <v>5.2</v>
      </c>
      <c r="G20" s="33" t="n">
        <f aca="false">IF(F20="","",F20-E20)</f>
        <v>0.275</v>
      </c>
      <c r="H20" s="7" t="str">
        <f aca="false">IF(F20="","menejerda kg yo'q",IF(ABS(G20)&gt;0.3,"farq katta","yaqin"))</f>
        <v>yaqin</v>
      </c>
      <c r="I20" s="9" t="s">
        <v>599</v>
      </c>
      <c r="J20" s="9" t="s">
        <v>265</v>
      </c>
      <c r="K20" s="9" t="s">
        <v>164</v>
      </c>
    </row>
    <row r="21" customFormat="false" ht="15" hidden="false" customHeight="false" outlineLevel="0" collapsed="false">
      <c r="A21" s="8" t="s">
        <v>166</v>
      </c>
      <c r="B21" s="7" t="n">
        <v>60</v>
      </c>
      <c r="C21" s="7" t="n">
        <v>26</v>
      </c>
      <c r="D21" s="9" t="s">
        <v>266</v>
      </c>
      <c r="E21" s="10" t="n">
        <f aca="false">'1 Archive qoliplar'!T104</f>
        <v>5.33</v>
      </c>
      <c r="F21" s="10" t="n">
        <f aca="false">'2 Kitobcha (menejer)'!I29</f>
        <v>5.8</v>
      </c>
      <c r="G21" s="33" t="n">
        <f aca="false">IF(F21="","",F21-E21)</f>
        <v>0.47</v>
      </c>
      <c r="H21" s="7" t="str">
        <f aca="false">IF(F21="","menejerda kg yo'q",IF(ABS(G21)&gt;0.3,"farq katta","yaqin"))</f>
        <v>farq katta</v>
      </c>
      <c r="I21" s="9" t="s">
        <v>600</v>
      </c>
      <c r="J21" s="9" t="s">
        <v>269</v>
      </c>
      <c r="K21" s="9"/>
    </row>
    <row r="22" customFormat="false" ht="15" hidden="false" customHeight="false" outlineLevel="0" collapsed="false">
      <c r="A22" s="8" t="s">
        <v>179</v>
      </c>
      <c r="B22" s="7" t="n">
        <v>66</v>
      </c>
      <c r="C22" s="7" t="n">
        <v>13</v>
      </c>
      <c r="D22" s="9" t="s">
        <v>236</v>
      </c>
      <c r="E22" s="10" t="n">
        <f aca="false">'1 Archive qoliplar'!T112</f>
        <v>6.3</v>
      </c>
      <c r="F22" s="10" t="n">
        <f aca="false">'2 Kitobcha (menejer)'!I16</f>
        <v>6</v>
      </c>
      <c r="G22" s="33" t="n">
        <f aca="false">IF(F22="","",F22-E22)</f>
        <v>-0.3</v>
      </c>
      <c r="H22" s="7" t="str">
        <f aca="false">IF(F22="","menejerda kg yo'q",IF(ABS(G22)&gt;0.3,"farq katta","yaqin"))</f>
        <v>yaqin</v>
      </c>
      <c r="I22" s="9" t="s">
        <v>280</v>
      </c>
      <c r="J22" s="9" t="s">
        <v>239</v>
      </c>
      <c r="K22" s="9" t="s">
        <v>601</v>
      </c>
    </row>
    <row r="23" customFormat="false" ht="22.35" hidden="false" customHeight="false" outlineLevel="0" collapsed="false">
      <c r="A23" s="8" t="s">
        <v>184</v>
      </c>
      <c r="B23" s="7" t="n">
        <v>68</v>
      </c>
      <c r="C23" s="7" t="n">
        <v>29</v>
      </c>
      <c r="D23" s="9" t="s">
        <v>278</v>
      </c>
      <c r="E23" s="10" t="n">
        <f aca="false">'1 Archive qoliplar'!T114</f>
        <v>6.3</v>
      </c>
      <c r="F23" s="10" t="n">
        <f aca="false">'2 Kitobcha (menejer)'!I32</f>
        <v>6</v>
      </c>
      <c r="G23" s="33" t="n">
        <f aca="false">IF(F23="","",F23-E23)</f>
        <v>-0.3</v>
      </c>
      <c r="H23" s="7" t="str">
        <f aca="false">IF(F23="","menejerda kg yo'q",IF(ABS(G23)&gt;0.3,"farq katta","yaqin"))</f>
        <v>yaqin</v>
      </c>
      <c r="I23" s="9" t="s">
        <v>280</v>
      </c>
      <c r="J23" s="9" t="s">
        <v>280</v>
      </c>
      <c r="K23" s="9" t="s">
        <v>182</v>
      </c>
    </row>
    <row r="24" customFormat="false" ht="22.35" hidden="false" customHeight="false" outlineLevel="0" collapsed="false">
      <c r="A24" s="8" t="s">
        <v>183</v>
      </c>
      <c r="B24" s="7" t="n">
        <v>67</v>
      </c>
      <c r="C24" s="7" t="n">
        <v>32</v>
      </c>
      <c r="D24" s="9" t="s">
        <v>283</v>
      </c>
      <c r="E24" s="10" t="n">
        <f aca="false">'1 Archive qoliplar'!T113</f>
        <v>6.3</v>
      </c>
      <c r="F24" s="10" t="n">
        <f aca="false">'2 Kitobcha (menejer)'!I35</f>
        <v>6</v>
      </c>
      <c r="G24" s="33" t="n">
        <f aca="false">IF(F24="","",F24-E24)</f>
        <v>-0.3</v>
      </c>
      <c r="H24" s="7" t="str">
        <f aca="false">IF(F24="","menejerda kg yo'q",IF(ABS(G24)&gt;0.3,"farq katta","yaqin"))</f>
        <v>yaqin</v>
      </c>
      <c r="I24" s="9" t="s">
        <v>280</v>
      </c>
      <c r="J24" s="9" t="s">
        <v>280</v>
      </c>
      <c r="K24" s="9" t="s">
        <v>602</v>
      </c>
    </row>
    <row r="25" customFormat="false" ht="22.35" hidden="false" customHeight="false" outlineLevel="0" collapsed="false">
      <c r="A25" s="8" t="s">
        <v>168</v>
      </c>
      <c r="B25" s="7" t="n">
        <v>61</v>
      </c>
      <c r="C25" s="7" t="n">
        <v>30</v>
      </c>
      <c r="D25" s="9" t="s">
        <v>236</v>
      </c>
      <c r="E25" s="10" t="n">
        <f aca="false">'1 Archive qoliplar'!T106</f>
        <v>6</v>
      </c>
      <c r="F25" s="10" t="n">
        <f aca="false">'2 Kitobcha (menejer)'!I33</f>
        <v>6.2</v>
      </c>
      <c r="G25" s="33" t="n">
        <f aca="false">IF(F25="","",F25-E25)</f>
        <v>0.2</v>
      </c>
      <c r="H25" s="7" t="str">
        <f aca="false">IF(F25="","menejerda kg yo'q",IF(ABS(G25)&gt;0.3,"farq katta","yaqin"))</f>
        <v>yaqin</v>
      </c>
      <c r="I25" s="9" t="s">
        <v>603</v>
      </c>
      <c r="J25" s="9" t="s">
        <v>282</v>
      </c>
      <c r="K25" s="9" t="s">
        <v>171</v>
      </c>
    </row>
    <row r="26" customFormat="false" ht="22.35" hidden="false" customHeight="false" outlineLevel="0" collapsed="false">
      <c r="A26" s="8" t="s">
        <v>154</v>
      </c>
      <c r="B26" s="7" t="n">
        <v>56</v>
      </c>
      <c r="C26" s="7" t="n">
        <v>33</v>
      </c>
      <c r="D26" s="9" t="s">
        <v>154</v>
      </c>
      <c r="E26" s="10" t="n">
        <f aca="false">'1 Archive qoliplar'!T95</f>
        <v>5.55</v>
      </c>
      <c r="F26" s="10" t="n">
        <f aca="false">'2 Kitobcha (menejer)'!I36</f>
        <v>5.71</v>
      </c>
      <c r="G26" s="33" t="n">
        <f aca="false">IF(F26="","",F26-E26)</f>
        <v>0.16</v>
      </c>
      <c r="H26" s="7" t="str">
        <f aca="false">IF(F26="","menejerda kg yo'q",IF(ABS(G26)&gt;0.3,"farq katta","yaqin"))</f>
        <v>yaqin</v>
      </c>
      <c r="I26" s="9" t="s">
        <v>286</v>
      </c>
      <c r="J26" s="9" t="s">
        <v>286</v>
      </c>
      <c r="K26" s="9" t="s">
        <v>604</v>
      </c>
    </row>
    <row r="27" customFormat="false" ht="15" hidden="false" customHeight="false" outlineLevel="0" collapsed="false">
      <c r="A27" s="8" t="s">
        <v>147</v>
      </c>
      <c r="B27" s="7" t="n">
        <v>54</v>
      </c>
      <c r="C27" s="7" t="n">
        <v>34</v>
      </c>
      <c r="D27" s="9" t="s">
        <v>147</v>
      </c>
      <c r="E27" s="10" t="n">
        <f aca="false">'1 Archive qoliplar'!T90</f>
        <v>4.625</v>
      </c>
      <c r="F27" s="10" t="n">
        <f aca="false">'2 Kitobcha (menejer)'!I37</f>
        <v>4.5</v>
      </c>
      <c r="G27" s="33" t="n">
        <f aca="false">IF(F27="","",F27-E27)</f>
        <v>-0.125</v>
      </c>
      <c r="H27" s="7" t="str">
        <f aca="false">IF(F27="","menejerda kg yo'q",IF(ABS(G27)&gt;0.3,"farq katta","yaqin"))</f>
        <v>yaqin</v>
      </c>
      <c r="I27" s="9" t="s">
        <v>605</v>
      </c>
      <c r="J27" s="9" t="s">
        <v>230</v>
      </c>
      <c r="K27" s="9" t="s">
        <v>288</v>
      </c>
    </row>
    <row r="28" customFormat="false" ht="22.35" hidden="false" customHeight="false" outlineLevel="0" collapsed="false">
      <c r="A28" s="8" t="s">
        <v>150</v>
      </c>
      <c r="B28" s="7" t="n">
        <v>55</v>
      </c>
      <c r="C28" s="7" t="n">
        <v>35</v>
      </c>
      <c r="D28" s="9" t="s">
        <v>150</v>
      </c>
      <c r="E28" s="10" t="n">
        <f aca="false">'1 Archive qoliplar'!T92</f>
        <v>5.3</v>
      </c>
      <c r="F28" s="10" t="n">
        <f aca="false">'2 Kitobcha (menejer)'!I38</f>
        <v>4.2</v>
      </c>
      <c r="G28" s="33" t="n">
        <f aca="false">IF(F28="","",F28-E28)</f>
        <v>-1.1</v>
      </c>
      <c r="H28" s="7" t="str">
        <f aca="false">IF(F28="","menejerda kg yo'q",IF(ABS(G28)&gt;0.3,"farq katta","yaqin"))</f>
        <v>farq katta</v>
      </c>
      <c r="I28" s="9" t="s">
        <v>290</v>
      </c>
      <c r="J28" s="9" t="s">
        <v>290</v>
      </c>
      <c r="K28" s="9" t="s">
        <v>152</v>
      </c>
    </row>
    <row r="29" customFormat="false" ht="15" hidden="false" customHeight="false" outlineLevel="0" collapsed="false">
      <c r="A29" s="8" t="s">
        <v>161</v>
      </c>
      <c r="B29" s="7" t="n">
        <v>58</v>
      </c>
      <c r="C29" s="7" t="n">
        <v>36</v>
      </c>
      <c r="D29" s="9" t="s">
        <v>291</v>
      </c>
      <c r="E29" s="10" t="n">
        <f aca="false">'1 Archive qoliplar'!T99</f>
        <v>5.3</v>
      </c>
      <c r="F29" s="10" t="n">
        <f aca="false">'2 Kitobcha (menejer)'!I39</f>
        <v>4.56</v>
      </c>
      <c r="G29" s="33" t="n">
        <f aca="false">IF(F29="","",F29-E29)</f>
        <v>-0.74</v>
      </c>
      <c r="H29" s="7" t="str">
        <f aca="false">IF(F29="","menejerda kg yo'q",IF(ABS(G29)&gt;0.3,"farq katta","yaqin"))</f>
        <v>farq katta</v>
      </c>
      <c r="I29" s="9" t="s">
        <v>606</v>
      </c>
      <c r="J29" s="9" t="s">
        <v>293</v>
      </c>
      <c r="K29" s="9" t="s">
        <v>162</v>
      </c>
    </row>
    <row r="30" customFormat="false" ht="15" hidden="false" customHeight="false" outlineLevel="0" collapsed="false">
      <c r="A30" s="8" t="s">
        <v>144</v>
      </c>
      <c r="B30" s="7" t="n">
        <v>53</v>
      </c>
      <c r="C30" s="7" t="n">
        <v>41</v>
      </c>
      <c r="D30" s="9" t="s">
        <v>144</v>
      </c>
      <c r="E30" s="10" t="n">
        <f aca="false">'1 Archive qoliplar'!T88</f>
        <v>4.84</v>
      </c>
      <c r="F30" s="10" t="n">
        <f aca="false">'2 Kitobcha (menejer)'!I44</f>
        <v>5.1</v>
      </c>
      <c r="G30" s="33" t="n">
        <f aca="false">IF(F30="","",F30-E30)</f>
        <v>0.26</v>
      </c>
      <c r="H30" s="7" t="str">
        <f aca="false">IF(F30="","menejerda kg yo'q",IF(ABS(G30)&gt;0.3,"farq katta","yaqin"))</f>
        <v>yaqin</v>
      </c>
      <c r="I30" s="9" t="s">
        <v>607</v>
      </c>
      <c r="J30" s="9" t="s">
        <v>300</v>
      </c>
      <c r="K30" s="9"/>
    </row>
    <row r="31" customFormat="false" ht="15" hidden="false" customHeight="false" outlineLevel="0" collapsed="false">
      <c r="A31" s="8" t="s">
        <v>136</v>
      </c>
      <c r="B31" s="7" t="n">
        <v>50</v>
      </c>
      <c r="C31" s="7" t="n">
        <v>42</v>
      </c>
      <c r="D31" s="9" t="s">
        <v>136</v>
      </c>
      <c r="E31" s="10" t="n">
        <f aca="false">'1 Archive qoliplar'!T81</f>
        <v>5.225</v>
      </c>
      <c r="F31" s="10" t="n">
        <f aca="false">'2 Kitobcha (menejer)'!I45</f>
        <v>4.3</v>
      </c>
      <c r="G31" s="33" t="n">
        <f aca="false">IF(F31="","",F31-E31)</f>
        <v>-0.925</v>
      </c>
      <c r="H31" s="7" t="str">
        <f aca="false">IF(F31="","menejerda kg yo'q",IF(ABS(G31)&gt;0.3,"farq katta","yaqin"))</f>
        <v>farq katta</v>
      </c>
      <c r="I31" s="9" t="s">
        <v>301</v>
      </c>
      <c r="J31" s="9" t="s">
        <v>301</v>
      </c>
      <c r="K31" s="9"/>
    </row>
    <row r="32" customFormat="false" ht="15" hidden="false" customHeight="false" outlineLevel="0" collapsed="false">
      <c r="A32" s="8" t="s">
        <v>129</v>
      </c>
      <c r="B32" s="7" t="n">
        <v>46</v>
      </c>
      <c r="C32" s="7" t="n">
        <v>61</v>
      </c>
      <c r="D32" s="9" t="s">
        <v>129</v>
      </c>
      <c r="E32" s="10" t="n">
        <f aca="false">'1 Archive qoliplar'!T73</f>
        <v>5.04</v>
      </c>
      <c r="F32" s="10" t="n">
        <f aca="false">'2 Kitobcha (menejer)'!I64</f>
        <v>4.9</v>
      </c>
      <c r="G32" s="33" t="n">
        <f aca="false">IF(F32="","",F32-E32)</f>
        <v>-0.14</v>
      </c>
      <c r="H32" s="7" t="str">
        <f aca="false">IF(F32="","menejerda kg yo'q",IF(ABS(G32)&gt;0.3,"farq katta","yaqin"))</f>
        <v>yaqin</v>
      </c>
      <c r="I32" s="9" t="s">
        <v>333</v>
      </c>
      <c r="J32" s="9" t="s">
        <v>333</v>
      </c>
      <c r="K32" s="9"/>
    </row>
    <row r="33" customFormat="false" ht="15" hidden="false" customHeight="false" outlineLevel="0" collapsed="false">
      <c r="A33" s="8" t="s">
        <v>132</v>
      </c>
      <c r="B33" s="7" t="n">
        <v>47</v>
      </c>
      <c r="C33" s="7" t="n">
        <v>62</v>
      </c>
      <c r="D33" s="9" t="s">
        <v>132</v>
      </c>
      <c r="E33" s="10" t="n">
        <f aca="false">'1 Archive qoliplar'!T75</f>
        <v>5.04</v>
      </c>
      <c r="F33" s="10" t="n">
        <f aca="false">'2 Kitobcha (menejer)'!I65</f>
        <v>4.9</v>
      </c>
      <c r="G33" s="33" t="n">
        <f aca="false">IF(F33="","",F33-E33)</f>
        <v>-0.14</v>
      </c>
      <c r="H33" s="7" t="str">
        <f aca="false">IF(F33="","menejerda kg yo'q",IF(ABS(G33)&gt;0.3,"farq katta","yaqin"))</f>
        <v>yaqin</v>
      </c>
      <c r="I33" s="9" t="s">
        <v>333</v>
      </c>
      <c r="J33" s="9" t="s">
        <v>333</v>
      </c>
      <c r="K33" s="9" t="s">
        <v>345</v>
      </c>
    </row>
    <row r="34" customFormat="false" ht="15" hidden="false" customHeight="false" outlineLevel="0" collapsed="false">
      <c r="A34" s="8" t="s">
        <v>138</v>
      </c>
      <c r="B34" s="7" t="n">
        <v>51</v>
      </c>
      <c r="C34" s="7" t="n">
        <v>63</v>
      </c>
      <c r="D34" s="9" t="s">
        <v>138</v>
      </c>
      <c r="E34" s="10" t="n">
        <f aca="false">'1 Archive qoliplar'!T83</f>
        <v>4.485</v>
      </c>
      <c r="F34" s="10" t="n">
        <f aca="false">'2 Kitobcha (menejer)'!I66</f>
        <v>4.6</v>
      </c>
      <c r="G34" s="33" t="n">
        <f aca="false">IF(F34="","",F34-E34)</f>
        <v>0.114999999999999</v>
      </c>
      <c r="H34" s="7" t="str">
        <f aca="false">IF(F34="","menejerda kg yo'q",IF(ABS(G34)&gt;0.3,"farq katta","yaqin"))</f>
        <v>yaqin</v>
      </c>
      <c r="I34" s="9" t="s">
        <v>346</v>
      </c>
      <c r="J34" s="9" t="s">
        <v>346</v>
      </c>
      <c r="K34" s="9"/>
    </row>
    <row r="35" customFormat="false" ht="15" hidden="false" customHeight="false" outlineLevel="0" collapsed="false">
      <c r="A35" s="8" t="s">
        <v>140</v>
      </c>
      <c r="B35" s="7" t="n">
        <v>52</v>
      </c>
      <c r="C35" s="7" t="n">
        <v>64</v>
      </c>
      <c r="D35" s="9" t="s">
        <v>140</v>
      </c>
      <c r="E35" s="10" t="n">
        <f aca="false">'1 Archive qoliplar'!T85</f>
        <v>4.71</v>
      </c>
      <c r="F35" s="10" t="n">
        <f aca="false">'2 Kitobcha (menejer)'!I67</f>
        <v>4.9</v>
      </c>
      <c r="G35" s="33" t="n">
        <f aca="false">IF(F35="","",F35-E35)</f>
        <v>0.19</v>
      </c>
      <c r="H35" s="7" t="str">
        <f aca="false">IF(F35="","menejerda kg yo'q",IF(ABS(G35)&gt;0.3,"farq katta","yaqin"))</f>
        <v>yaqin</v>
      </c>
      <c r="I35" s="9" t="s">
        <v>608</v>
      </c>
      <c r="J35" s="9" t="s">
        <v>347</v>
      </c>
      <c r="K35" s="9" t="s">
        <v>142</v>
      </c>
    </row>
    <row r="36" customFormat="false" ht="15" hidden="false" customHeight="false" outlineLevel="0" collapsed="false">
      <c r="A36" s="8" t="s">
        <v>122</v>
      </c>
      <c r="B36" s="7" t="n">
        <v>44</v>
      </c>
      <c r="C36" s="7" t="n">
        <v>66</v>
      </c>
      <c r="D36" s="9" t="s">
        <v>122</v>
      </c>
      <c r="E36" s="10" t="n">
        <f aca="false">'1 Archive qoliplar'!T69</f>
        <v>5.08</v>
      </c>
      <c r="F36" s="10" t="n">
        <f aca="false">'2 Kitobcha (menejer)'!I69</f>
        <v>4.6</v>
      </c>
      <c r="G36" s="33" t="n">
        <f aca="false">IF(F36="","",F36-E36)</f>
        <v>-0.48</v>
      </c>
      <c r="H36" s="7" t="str">
        <f aca="false">IF(F36="","menejerda kg yo'q",IF(ABS(G36)&gt;0.3,"farq katta","yaqin"))</f>
        <v>farq katta</v>
      </c>
      <c r="I36" s="9" t="s">
        <v>609</v>
      </c>
      <c r="J36" s="9" t="s">
        <v>352</v>
      </c>
      <c r="K36" s="9"/>
    </row>
    <row r="37" customFormat="false" ht="15" hidden="false" customHeight="false" outlineLevel="0" collapsed="false">
      <c r="A37" s="8" t="s">
        <v>117</v>
      </c>
      <c r="B37" s="7" t="n">
        <v>43</v>
      </c>
      <c r="C37" s="7" t="n">
        <v>67</v>
      </c>
      <c r="D37" s="9" t="s">
        <v>353</v>
      </c>
      <c r="E37" s="10" t="n">
        <f aca="false">'1 Archive qoliplar'!T67</f>
        <v>5.04</v>
      </c>
      <c r="F37" s="10" t="n">
        <f aca="false">'2 Kitobcha (menejer)'!I70</f>
        <v>4.9</v>
      </c>
      <c r="G37" s="33" t="n">
        <f aca="false">IF(F37="","",F37-E37)</f>
        <v>-0.14</v>
      </c>
      <c r="H37" s="7" t="str">
        <f aca="false">IF(F37="","menejerda kg yo'q",IF(ABS(G37)&gt;0.3,"farq katta","yaqin"))</f>
        <v>yaqin</v>
      </c>
      <c r="I37" s="9" t="s">
        <v>610</v>
      </c>
      <c r="J37" s="9" t="s">
        <v>354</v>
      </c>
      <c r="K37" s="9"/>
    </row>
    <row r="38" customFormat="false" ht="15" hidden="false" customHeight="false" outlineLevel="0" collapsed="false">
      <c r="A38" s="8" t="s">
        <v>174</v>
      </c>
      <c r="B38" s="7" t="n">
        <v>63</v>
      </c>
      <c r="C38" s="7" t="n">
        <v>68</v>
      </c>
      <c r="D38" s="9" t="s">
        <v>174</v>
      </c>
      <c r="E38" s="10" t="n">
        <f aca="false">'1 Archive qoliplar'!T109</f>
        <v>6.11</v>
      </c>
      <c r="F38" s="10" t="n">
        <f aca="false">'2 Kitobcha (menejer)'!I71</f>
        <v>5.9</v>
      </c>
      <c r="G38" s="33" t="n">
        <f aca="false">IF(F38="","",F38-E38)</f>
        <v>-0.21</v>
      </c>
      <c r="H38" s="7" t="str">
        <f aca="false">IF(F38="","menejerda kg yo'q",IF(ABS(G38)&gt;0.3,"farq katta","yaqin"))</f>
        <v>yaqin</v>
      </c>
      <c r="I38" s="9" t="s">
        <v>355</v>
      </c>
      <c r="J38" s="9" t="s">
        <v>355</v>
      </c>
      <c r="K38" s="9"/>
    </row>
    <row r="39" customFormat="false" ht="15" hidden="false" customHeight="false" outlineLevel="0" collapsed="false">
      <c r="A39" s="8" t="s">
        <v>176</v>
      </c>
      <c r="B39" s="7" t="n">
        <v>64</v>
      </c>
      <c r="C39" s="7" t="n">
        <v>59</v>
      </c>
      <c r="D39" s="9" t="s">
        <v>341</v>
      </c>
      <c r="E39" s="10" t="n">
        <f aca="false">'1 Archive qoliplar'!T110</f>
        <v>4.05</v>
      </c>
      <c r="F39" s="10" t="n">
        <f aca="false">'2 Kitobcha (menejer)'!I62</f>
        <v>4</v>
      </c>
      <c r="G39" s="33" t="n">
        <f aca="false">IF(F39="","",F39-E39)</f>
        <v>-0.0499999999999998</v>
      </c>
      <c r="H39" s="7" t="str">
        <f aca="false">IF(F39="","menejerda kg yo'q",IF(ABS(G39)&gt;0.3,"farq katta","yaqin"))</f>
        <v>yaqin</v>
      </c>
      <c r="I39" s="9" t="s">
        <v>342</v>
      </c>
      <c r="J39" s="9" t="s">
        <v>342</v>
      </c>
      <c r="K39" s="9"/>
    </row>
    <row r="40" customFormat="false" ht="15" hidden="false" customHeight="false" outlineLevel="0" collapsed="false">
      <c r="A40" s="8" t="s">
        <v>178</v>
      </c>
      <c r="B40" s="7" t="n">
        <v>65</v>
      </c>
      <c r="C40" s="7" t="n">
        <v>60</v>
      </c>
      <c r="D40" s="9" t="s">
        <v>343</v>
      </c>
      <c r="E40" s="10" t="n">
        <f aca="false">'1 Archive qoliplar'!T111</f>
        <v>5.85</v>
      </c>
      <c r="F40" s="10" t="n">
        <f aca="false">'2 Kitobcha (menejer)'!I63</f>
        <v>6.4</v>
      </c>
      <c r="G40" s="33" t="n">
        <f aca="false">IF(F40="","",F40-E40)</f>
        <v>0.550000000000001</v>
      </c>
      <c r="H40" s="7" t="str">
        <f aca="false">IF(F40="","menejerda kg yo'q",IF(ABS(G40)&gt;0.3,"farq katta","yaqin"))</f>
        <v>farq katta</v>
      </c>
      <c r="I40" s="9" t="s">
        <v>342</v>
      </c>
      <c r="J40" s="9"/>
      <c r="K40" s="9" t="s">
        <v>344</v>
      </c>
    </row>
    <row r="41" customFormat="false" ht="15" hidden="false" customHeight="false" outlineLevel="0" collapsed="false">
      <c r="A41" s="8" t="s">
        <v>125</v>
      </c>
      <c r="B41" s="7" t="n">
        <v>45</v>
      </c>
      <c r="C41" s="7" t="n">
        <v>90</v>
      </c>
      <c r="D41" s="9" t="s">
        <v>125</v>
      </c>
      <c r="E41" s="10" t="n">
        <f aca="false">'1 Archive qoliplar'!T71</f>
        <v>5.7</v>
      </c>
      <c r="F41" s="10" t="n">
        <f aca="false">'2 Kitobcha (menejer)'!I93</f>
        <v>5.5</v>
      </c>
      <c r="G41" s="33" t="n">
        <f aca="false">IF(F41="","",F41-E41)</f>
        <v>-0.2</v>
      </c>
      <c r="H41" s="7" t="str">
        <f aca="false">IF(F41="","menejerda kg yo'q",IF(ABS(G41)&gt;0.3,"farq katta","yaqin"))</f>
        <v>yaqin</v>
      </c>
      <c r="I41" s="9" t="s">
        <v>611</v>
      </c>
      <c r="J41" s="9" t="s">
        <v>395</v>
      </c>
      <c r="K41" s="9" t="s">
        <v>127</v>
      </c>
    </row>
    <row r="42" customFormat="false" ht="15" hidden="false" customHeight="false" outlineLevel="0" collapsed="false">
      <c r="A42" s="8" t="s">
        <v>172</v>
      </c>
      <c r="B42" s="7" t="n">
        <v>62</v>
      </c>
      <c r="C42" s="7" t="n">
        <v>93</v>
      </c>
      <c r="D42" s="9" t="s">
        <v>172</v>
      </c>
      <c r="E42" s="10" t="n">
        <f aca="false">'1 Archive qoliplar'!T108</f>
        <v>5.07</v>
      </c>
      <c r="F42" s="10" t="n">
        <f aca="false">'2 Kitobcha (menejer)'!I96</f>
        <v>4.08</v>
      </c>
      <c r="G42" s="33" t="n">
        <f aca="false">IF(F42="","",F42-E42)</f>
        <v>-0.99</v>
      </c>
      <c r="H42" s="7" t="str">
        <f aca="false">IF(F42="","menejerda kg yo'q",IF(ABS(G42)&gt;0.3,"farq katta","yaqin"))</f>
        <v>farq katta</v>
      </c>
      <c r="I42" s="9" t="s">
        <v>399</v>
      </c>
      <c r="J42" s="9" t="s">
        <v>399</v>
      </c>
      <c r="K42" s="9" t="s">
        <v>400</v>
      </c>
    </row>
    <row r="43" customFormat="false" ht="15" hidden="false" customHeight="false" outlineLevel="0" collapsed="false">
      <c r="A43" s="8" t="s">
        <v>158</v>
      </c>
      <c r="B43" s="7" t="n">
        <v>57</v>
      </c>
      <c r="C43" s="7" t="n">
        <v>94</v>
      </c>
      <c r="D43" s="9" t="s">
        <v>158</v>
      </c>
      <c r="E43" s="10" t="n">
        <f aca="false">'1 Archive qoliplar'!T97</f>
        <v>5.49</v>
      </c>
      <c r="F43" s="10" t="n">
        <f aca="false">'2 Kitobcha (menejer)'!I97</f>
        <v>5.5</v>
      </c>
      <c r="G43" s="33" t="n">
        <f aca="false">IF(F43="","",F43-E43)</f>
        <v>0.00999999999999979</v>
      </c>
      <c r="H43" s="7" t="str">
        <f aca="false">IF(F43="","menejerda kg yo'q",IF(ABS(G43)&gt;0.3,"farq katta","yaqin"))</f>
        <v>yaqin</v>
      </c>
      <c r="I43" s="9" t="s">
        <v>354</v>
      </c>
      <c r="J43" s="9" t="s">
        <v>354</v>
      </c>
      <c r="K43" s="9"/>
    </row>
  </sheetData>
  <autoFilter ref="A3:K43"/>
  <mergeCells count="2">
    <mergeCell ref="A1:K1"/>
    <mergeCell ref="A2:K2"/>
  </mergeCells>
  <conditionalFormatting sqref="H4:H43">
    <cfRule type="expression" priority="2" aboveAverage="0" equalAverage="0" bottom="0" percent="0" rank="0" text="" dxfId="5">
      <formula>H4="farq katta"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70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4" t="s">
        <v>612</v>
      </c>
      <c r="B1" s="4"/>
      <c r="C1" s="4"/>
      <c r="D1" s="4"/>
      <c r="E1" s="4"/>
    </row>
    <row r="2" customFormat="false" ht="30" hidden="false" customHeight="true" outlineLevel="0" collapsed="false">
      <c r="A2" s="5" t="s">
        <v>613</v>
      </c>
      <c r="B2" s="5"/>
      <c r="C2" s="5"/>
      <c r="D2" s="5"/>
      <c r="E2" s="5"/>
    </row>
    <row r="3" customFormat="false" ht="42" hidden="false" customHeight="true" outlineLevel="0" collapsed="false">
      <c r="A3" s="6" t="s">
        <v>425</v>
      </c>
      <c r="B3" s="6" t="s">
        <v>614</v>
      </c>
      <c r="C3" s="6" t="s">
        <v>615</v>
      </c>
      <c r="D3" s="6" t="s">
        <v>45</v>
      </c>
      <c r="E3" s="6" t="s">
        <v>616</v>
      </c>
    </row>
    <row r="4" customFormat="false" ht="15" hidden="false" customHeight="false" outlineLevel="0" collapsed="false">
      <c r="A4" s="24" t="s">
        <v>617</v>
      </c>
      <c r="B4" s="24" t="s">
        <v>618</v>
      </c>
      <c r="C4" s="23" t="s">
        <v>619</v>
      </c>
      <c r="D4" s="24" t="s">
        <v>620</v>
      </c>
      <c r="E4" s="24" t="s">
        <v>621</v>
      </c>
    </row>
    <row r="5" customFormat="false" ht="15" hidden="false" customHeight="false" outlineLevel="0" collapsed="false">
      <c r="A5" s="30" t="s">
        <v>622</v>
      </c>
      <c r="B5" s="30" t="s">
        <v>618</v>
      </c>
      <c r="C5" s="29" t="s">
        <v>623</v>
      </c>
      <c r="D5" s="30" t="s">
        <v>624</v>
      </c>
      <c r="E5" s="30" t="s">
        <v>625</v>
      </c>
    </row>
    <row r="6" customFormat="false" ht="15" hidden="false" customHeight="false" outlineLevel="0" collapsed="false">
      <c r="A6" s="9" t="s">
        <v>626</v>
      </c>
      <c r="B6" s="9" t="s">
        <v>618</v>
      </c>
      <c r="C6" s="8" t="s">
        <v>627</v>
      </c>
      <c r="D6" s="9" t="s">
        <v>628</v>
      </c>
      <c r="E6" s="9" t="s">
        <v>629</v>
      </c>
    </row>
    <row r="7" customFormat="false" ht="15" hidden="false" customHeight="false" outlineLevel="0" collapsed="false">
      <c r="A7" s="9" t="s">
        <v>630</v>
      </c>
      <c r="B7" s="9" t="s">
        <v>618</v>
      </c>
      <c r="C7" s="8" t="s">
        <v>627</v>
      </c>
      <c r="D7" s="9" t="s">
        <v>631</v>
      </c>
      <c r="E7" s="9" t="s">
        <v>629</v>
      </c>
    </row>
    <row r="8" customFormat="false" ht="15" hidden="false" customHeight="false" outlineLevel="0" collapsed="false">
      <c r="A8" s="9" t="s">
        <v>632</v>
      </c>
      <c r="B8" s="9" t="s">
        <v>618</v>
      </c>
      <c r="C8" s="8" t="s">
        <v>633</v>
      </c>
      <c r="D8" s="9" t="s">
        <v>634</v>
      </c>
      <c r="E8" s="9" t="s">
        <v>629</v>
      </c>
    </row>
    <row r="9" customFormat="false" ht="15" hidden="false" customHeight="false" outlineLevel="0" collapsed="false">
      <c r="A9" s="30" t="s">
        <v>635</v>
      </c>
      <c r="B9" s="30" t="s">
        <v>618</v>
      </c>
      <c r="C9" s="29" t="s">
        <v>636</v>
      </c>
      <c r="D9" s="30" t="s">
        <v>637</v>
      </c>
      <c r="E9" s="30" t="s">
        <v>625</v>
      </c>
    </row>
    <row r="10" customFormat="false" ht="15" hidden="false" customHeight="false" outlineLevel="0" collapsed="false">
      <c r="A10" s="30" t="s">
        <v>638</v>
      </c>
      <c r="B10" s="30" t="s">
        <v>618</v>
      </c>
      <c r="C10" s="29" t="s">
        <v>639</v>
      </c>
      <c r="D10" s="30" t="s">
        <v>640</v>
      </c>
      <c r="E10" s="30" t="s">
        <v>625</v>
      </c>
    </row>
    <row r="11" customFormat="false" ht="15" hidden="false" customHeight="false" outlineLevel="0" collapsed="false">
      <c r="A11" s="9" t="s">
        <v>641</v>
      </c>
      <c r="B11" s="9" t="s">
        <v>618</v>
      </c>
      <c r="C11" s="8" t="s">
        <v>642</v>
      </c>
      <c r="D11" s="9" t="s">
        <v>643</v>
      </c>
      <c r="E11" s="9" t="s">
        <v>629</v>
      </c>
    </row>
    <row r="12" customFormat="false" ht="15" hidden="false" customHeight="false" outlineLevel="0" collapsed="false">
      <c r="A12" s="9" t="s">
        <v>644</v>
      </c>
      <c r="B12" s="9" t="s">
        <v>618</v>
      </c>
      <c r="C12" s="8" t="s">
        <v>645</v>
      </c>
      <c r="D12" s="9" t="s">
        <v>646</v>
      </c>
      <c r="E12" s="9" t="s">
        <v>629</v>
      </c>
    </row>
    <row r="13" customFormat="false" ht="15" hidden="false" customHeight="false" outlineLevel="0" collapsed="false">
      <c r="A13" s="9" t="s">
        <v>647</v>
      </c>
      <c r="B13" s="9" t="s">
        <v>618</v>
      </c>
      <c r="C13" s="8" t="s">
        <v>58</v>
      </c>
      <c r="D13" s="9" t="s">
        <v>646</v>
      </c>
      <c r="E13" s="9" t="s">
        <v>629</v>
      </c>
    </row>
    <row r="14" customFormat="false" ht="15" hidden="false" customHeight="false" outlineLevel="0" collapsed="false">
      <c r="A14" s="9" t="s">
        <v>648</v>
      </c>
      <c r="B14" s="9" t="s">
        <v>618</v>
      </c>
      <c r="C14" s="8" t="s">
        <v>61</v>
      </c>
      <c r="D14" s="9" t="s">
        <v>646</v>
      </c>
      <c r="E14" s="9" t="s">
        <v>629</v>
      </c>
    </row>
    <row r="15" customFormat="false" ht="15" hidden="false" customHeight="false" outlineLevel="0" collapsed="false">
      <c r="A15" s="30" t="s">
        <v>649</v>
      </c>
      <c r="B15" s="30" t="s">
        <v>618</v>
      </c>
      <c r="C15" s="29" t="s">
        <v>650</v>
      </c>
      <c r="D15" s="30" t="s">
        <v>651</v>
      </c>
      <c r="E15" s="30" t="s">
        <v>625</v>
      </c>
    </row>
    <row r="16" customFormat="false" ht="15" hidden="false" customHeight="false" outlineLevel="0" collapsed="false">
      <c r="A16" s="30" t="s">
        <v>652</v>
      </c>
      <c r="B16" s="30" t="s">
        <v>618</v>
      </c>
      <c r="C16" s="29" t="s">
        <v>653</v>
      </c>
      <c r="D16" s="30" t="s">
        <v>654</v>
      </c>
      <c r="E16" s="30" t="s">
        <v>625</v>
      </c>
    </row>
    <row r="17" customFormat="false" ht="15" hidden="false" customHeight="false" outlineLevel="0" collapsed="false">
      <c r="A17" s="9" t="s">
        <v>655</v>
      </c>
      <c r="B17" s="9" t="s">
        <v>618</v>
      </c>
      <c r="C17" s="8" t="s">
        <v>656</v>
      </c>
      <c r="D17" s="9" t="s">
        <v>238</v>
      </c>
      <c r="E17" s="9" t="s">
        <v>629</v>
      </c>
    </row>
    <row r="18" customFormat="false" ht="15" hidden="false" customHeight="false" outlineLevel="0" collapsed="false">
      <c r="A18" s="30" t="s">
        <v>657</v>
      </c>
      <c r="B18" s="30" t="s">
        <v>618</v>
      </c>
      <c r="C18" s="29" t="s">
        <v>658</v>
      </c>
      <c r="D18" s="30" t="s">
        <v>631</v>
      </c>
      <c r="E18" s="30" t="s">
        <v>625</v>
      </c>
    </row>
    <row r="19" customFormat="false" ht="15" hidden="false" customHeight="false" outlineLevel="0" collapsed="false">
      <c r="A19" s="9" t="s">
        <v>659</v>
      </c>
      <c r="B19" s="9" t="s">
        <v>618</v>
      </c>
      <c r="C19" s="8" t="s">
        <v>183</v>
      </c>
      <c r="D19" s="9" t="s">
        <v>660</v>
      </c>
      <c r="E19" s="9" t="s">
        <v>629</v>
      </c>
    </row>
    <row r="20" customFormat="false" ht="15" hidden="false" customHeight="false" outlineLevel="0" collapsed="false">
      <c r="A20" s="30" t="s">
        <v>661</v>
      </c>
      <c r="B20" s="30" t="s">
        <v>618</v>
      </c>
      <c r="C20" s="29" t="s">
        <v>662</v>
      </c>
      <c r="D20" s="30" t="s">
        <v>663</v>
      </c>
      <c r="E20" s="30" t="s">
        <v>625</v>
      </c>
    </row>
    <row r="21" customFormat="false" ht="15" hidden="false" customHeight="false" outlineLevel="0" collapsed="false">
      <c r="A21" s="9" t="s">
        <v>664</v>
      </c>
      <c r="B21" s="9" t="s">
        <v>618</v>
      </c>
      <c r="C21" s="8" t="s">
        <v>665</v>
      </c>
      <c r="D21" s="9" t="s">
        <v>666</v>
      </c>
      <c r="E21" s="9" t="s">
        <v>629</v>
      </c>
    </row>
    <row r="22" customFormat="false" ht="15" hidden="false" customHeight="false" outlineLevel="0" collapsed="false">
      <c r="A22" s="30" t="s">
        <v>667</v>
      </c>
      <c r="B22" s="30" t="s">
        <v>618</v>
      </c>
      <c r="C22" s="29" t="s">
        <v>668</v>
      </c>
      <c r="D22" s="30" t="s">
        <v>669</v>
      </c>
      <c r="E22" s="30" t="s">
        <v>625</v>
      </c>
    </row>
    <row r="23" customFormat="false" ht="15" hidden="false" customHeight="false" outlineLevel="0" collapsed="false">
      <c r="A23" s="9" t="s">
        <v>670</v>
      </c>
      <c r="B23" s="9" t="s">
        <v>618</v>
      </c>
      <c r="C23" s="8" t="s">
        <v>671</v>
      </c>
      <c r="D23" s="9" t="s">
        <v>628</v>
      </c>
      <c r="E23" s="9" t="s">
        <v>629</v>
      </c>
    </row>
    <row r="24" customFormat="false" ht="15" hidden="false" customHeight="false" outlineLevel="0" collapsed="false">
      <c r="A24" s="30" t="s">
        <v>672</v>
      </c>
      <c r="B24" s="30" t="s">
        <v>618</v>
      </c>
      <c r="C24" s="29" t="s">
        <v>673</v>
      </c>
      <c r="D24" s="30" t="s">
        <v>674</v>
      </c>
      <c r="E24" s="30" t="s">
        <v>625</v>
      </c>
    </row>
    <row r="25" customFormat="false" ht="15" hidden="false" customHeight="false" outlineLevel="0" collapsed="false">
      <c r="A25" s="9" t="s">
        <v>675</v>
      </c>
      <c r="B25" s="9" t="s">
        <v>618</v>
      </c>
      <c r="C25" s="8" t="s">
        <v>676</v>
      </c>
      <c r="D25" s="9" t="s">
        <v>628</v>
      </c>
      <c r="E25" s="9" t="s">
        <v>629</v>
      </c>
    </row>
    <row r="26" customFormat="false" ht="15" hidden="false" customHeight="false" outlineLevel="0" collapsed="false">
      <c r="A26" s="9" t="s">
        <v>677</v>
      </c>
      <c r="B26" s="9" t="s">
        <v>618</v>
      </c>
      <c r="C26" s="8" t="s">
        <v>678</v>
      </c>
      <c r="D26" s="9"/>
      <c r="E26" s="9" t="s">
        <v>629</v>
      </c>
    </row>
    <row r="27" customFormat="false" ht="15" hidden="false" customHeight="false" outlineLevel="0" collapsed="false">
      <c r="A27" s="9" t="s">
        <v>679</v>
      </c>
      <c r="B27" s="9" t="s">
        <v>618</v>
      </c>
      <c r="C27" s="8" t="s">
        <v>680</v>
      </c>
      <c r="D27" s="9"/>
      <c r="E27" s="9" t="s">
        <v>629</v>
      </c>
    </row>
    <row r="28" customFormat="false" ht="15" hidden="false" customHeight="false" outlineLevel="0" collapsed="false">
      <c r="A28" s="9" t="s">
        <v>681</v>
      </c>
      <c r="B28" s="9" t="s">
        <v>618</v>
      </c>
      <c r="C28" s="8" t="s">
        <v>682</v>
      </c>
      <c r="D28" s="9"/>
      <c r="E28" s="9" t="s">
        <v>629</v>
      </c>
    </row>
    <row r="29" customFormat="false" ht="15" hidden="false" customHeight="false" outlineLevel="0" collapsed="false">
      <c r="A29" s="9" t="s">
        <v>683</v>
      </c>
      <c r="B29" s="9" t="s">
        <v>618</v>
      </c>
      <c r="C29" s="8" t="s">
        <v>684</v>
      </c>
      <c r="D29" s="9" t="s">
        <v>628</v>
      </c>
      <c r="E29" s="9" t="s">
        <v>629</v>
      </c>
    </row>
    <row r="30" customFormat="false" ht="15" hidden="false" customHeight="false" outlineLevel="0" collapsed="false">
      <c r="A30" s="9" t="s">
        <v>685</v>
      </c>
      <c r="B30" s="9" t="s">
        <v>618</v>
      </c>
      <c r="C30" s="8" t="s">
        <v>686</v>
      </c>
      <c r="D30" s="9"/>
      <c r="E30" s="9" t="s">
        <v>629</v>
      </c>
    </row>
    <row r="31" customFormat="false" ht="15" hidden="false" customHeight="false" outlineLevel="0" collapsed="false">
      <c r="A31" s="9" t="s">
        <v>687</v>
      </c>
      <c r="B31" s="9" t="s">
        <v>618</v>
      </c>
      <c r="C31" s="8" t="s">
        <v>688</v>
      </c>
      <c r="D31" s="9" t="s">
        <v>689</v>
      </c>
      <c r="E31" s="9" t="s">
        <v>629</v>
      </c>
    </row>
    <row r="32" customFormat="false" ht="15" hidden="false" customHeight="false" outlineLevel="0" collapsed="false">
      <c r="A32" s="30" t="s">
        <v>690</v>
      </c>
      <c r="B32" s="30" t="s">
        <v>618</v>
      </c>
      <c r="C32" s="29" t="s">
        <v>691</v>
      </c>
      <c r="D32" s="30" t="s">
        <v>692</v>
      </c>
      <c r="E32" s="30" t="s">
        <v>625</v>
      </c>
    </row>
    <row r="33" customFormat="false" ht="15" hidden="false" customHeight="false" outlineLevel="0" collapsed="false">
      <c r="A33" s="9" t="s">
        <v>693</v>
      </c>
      <c r="B33" s="9" t="s">
        <v>618</v>
      </c>
      <c r="C33" s="8" t="s">
        <v>671</v>
      </c>
      <c r="D33" s="9" t="s">
        <v>631</v>
      </c>
      <c r="E33" s="9" t="s">
        <v>629</v>
      </c>
    </row>
    <row r="34" customFormat="false" ht="15" hidden="false" customHeight="false" outlineLevel="0" collapsed="false">
      <c r="A34" s="9" t="s">
        <v>694</v>
      </c>
      <c r="B34" s="9" t="s">
        <v>618</v>
      </c>
      <c r="C34" s="8" t="s">
        <v>695</v>
      </c>
      <c r="D34" s="9" t="s">
        <v>696</v>
      </c>
      <c r="E34" s="9" t="s">
        <v>629</v>
      </c>
    </row>
    <row r="35" customFormat="false" ht="15" hidden="false" customHeight="false" outlineLevel="0" collapsed="false">
      <c r="A35" s="30" t="s">
        <v>697</v>
      </c>
      <c r="B35" s="30" t="s">
        <v>618</v>
      </c>
      <c r="C35" s="29" t="s">
        <v>698</v>
      </c>
      <c r="D35" s="30"/>
      <c r="E35" s="30" t="s">
        <v>625</v>
      </c>
    </row>
    <row r="36" customFormat="false" ht="15" hidden="false" customHeight="false" outlineLevel="0" collapsed="false">
      <c r="A36" s="30" t="s">
        <v>699</v>
      </c>
      <c r="B36" s="30" t="s">
        <v>618</v>
      </c>
      <c r="C36" s="29" t="s">
        <v>650</v>
      </c>
      <c r="D36" s="30" t="s">
        <v>651</v>
      </c>
      <c r="E36" s="30" t="s">
        <v>625</v>
      </c>
    </row>
    <row r="37" customFormat="false" ht="15" hidden="false" customHeight="false" outlineLevel="0" collapsed="false">
      <c r="A37" s="9" t="s">
        <v>700</v>
      </c>
      <c r="B37" s="9" t="s">
        <v>618</v>
      </c>
      <c r="C37" s="8" t="s">
        <v>701</v>
      </c>
      <c r="D37" s="9"/>
      <c r="E37" s="9" t="s">
        <v>629</v>
      </c>
    </row>
    <row r="38" customFormat="false" ht="15" hidden="false" customHeight="false" outlineLevel="0" collapsed="false">
      <c r="A38" s="24" t="s">
        <v>702</v>
      </c>
      <c r="B38" s="24" t="s">
        <v>618</v>
      </c>
      <c r="C38" s="23" t="s">
        <v>703</v>
      </c>
      <c r="D38" s="24" t="s">
        <v>704</v>
      </c>
      <c r="E38" s="24" t="s">
        <v>621</v>
      </c>
    </row>
    <row r="39" customFormat="false" ht="15" hidden="false" customHeight="false" outlineLevel="0" collapsed="false">
      <c r="A39" s="30" t="s">
        <v>705</v>
      </c>
      <c r="B39" s="30" t="s">
        <v>618</v>
      </c>
      <c r="C39" s="29" t="s">
        <v>706</v>
      </c>
      <c r="D39" s="30" t="s">
        <v>707</v>
      </c>
      <c r="E39" s="30" t="s">
        <v>625</v>
      </c>
    </row>
    <row r="40" customFormat="false" ht="15" hidden="false" customHeight="false" outlineLevel="0" collapsed="false">
      <c r="A40" s="30" t="s">
        <v>708</v>
      </c>
      <c r="B40" s="30" t="s">
        <v>618</v>
      </c>
      <c r="C40" s="29" t="s">
        <v>709</v>
      </c>
      <c r="D40" s="30"/>
      <c r="E40" s="30" t="s">
        <v>625</v>
      </c>
    </row>
    <row r="41" customFormat="false" ht="15" hidden="false" customHeight="false" outlineLevel="0" collapsed="false">
      <c r="A41" s="24" t="s">
        <v>710</v>
      </c>
      <c r="B41" s="24" t="s">
        <v>618</v>
      </c>
      <c r="C41" s="23" t="s">
        <v>711</v>
      </c>
      <c r="D41" s="24" t="s">
        <v>712</v>
      </c>
      <c r="E41" s="24" t="s">
        <v>621</v>
      </c>
    </row>
    <row r="42" customFormat="false" ht="15" hidden="false" customHeight="false" outlineLevel="0" collapsed="false">
      <c r="A42" s="24" t="s">
        <v>713</v>
      </c>
      <c r="B42" s="24" t="s">
        <v>618</v>
      </c>
      <c r="C42" s="23" t="s">
        <v>711</v>
      </c>
      <c r="D42" s="24" t="s">
        <v>714</v>
      </c>
      <c r="E42" s="24" t="s">
        <v>621</v>
      </c>
    </row>
    <row r="43" customFormat="false" ht="15" hidden="false" customHeight="false" outlineLevel="0" collapsed="false">
      <c r="A43" s="9" t="s">
        <v>715</v>
      </c>
      <c r="B43" s="9" t="s">
        <v>618</v>
      </c>
      <c r="C43" s="8" t="s">
        <v>716</v>
      </c>
      <c r="D43" s="9" t="s">
        <v>717</v>
      </c>
      <c r="E43" s="9" t="s">
        <v>629</v>
      </c>
    </row>
    <row r="44" customFormat="false" ht="15" hidden="false" customHeight="false" outlineLevel="0" collapsed="false">
      <c r="A44" s="9" t="s">
        <v>718</v>
      </c>
      <c r="B44" s="9" t="s">
        <v>618</v>
      </c>
      <c r="C44" s="8" t="s">
        <v>719</v>
      </c>
      <c r="D44" s="9" t="s">
        <v>720</v>
      </c>
      <c r="E44" s="9" t="s">
        <v>629</v>
      </c>
    </row>
    <row r="45" customFormat="false" ht="15" hidden="false" customHeight="false" outlineLevel="0" collapsed="false">
      <c r="A45" s="9" t="s">
        <v>721</v>
      </c>
      <c r="B45" s="9" t="s">
        <v>618</v>
      </c>
      <c r="C45" s="8" t="s">
        <v>722</v>
      </c>
      <c r="D45" s="9" t="s">
        <v>646</v>
      </c>
      <c r="E45" s="9" t="s">
        <v>629</v>
      </c>
    </row>
    <row r="46" customFormat="false" ht="15" hidden="false" customHeight="false" outlineLevel="0" collapsed="false">
      <c r="A46" s="9" t="s">
        <v>723</v>
      </c>
      <c r="B46" s="9" t="s">
        <v>618</v>
      </c>
      <c r="C46" s="8" t="s">
        <v>724</v>
      </c>
      <c r="D46" s="9"/>
      <c r="E46" s="9" t="s">
        <v>629</v>
      </c>
    </row>
    <row r="47" customFormat="false" ht="15" hidden="false" customHeight="false" outlineLevel="0" collapsed="false">
      <c r="A47" s="30" t="s">
        <v>725</v>
      </c>
      <c r="B47" s="30" t="s">
        <v>618</v>
      </c>
      <c r="C47" s="29" t="s">
        <v>726</v>
      </c>
      <c r="D47" s="30" t="s">
        <v>727</v>
      </c>
      <c r="E47" s="30" t="s">
        <v>625</v>
      </c>
    </row>
    <row r="48" customFormat="false" ht="15" hidden="false" customHeight="false" outlineLevel="0" collapsed="false">
      <c r="A48" s="30" t="s">
        <v>728</v>
      </c>
      <c r="B48" s="30" t="s">
        <v>618</v>
      </c>
      <c r="C48" s="29" t="s">
        <v>729</v>
      </c>
      <c r="D48" s="30" t="s">
        <v>730</v>
      </c>
      <c r="E48" s="30" t="s">
        <v>625</v>
      </c>
    </row>
    <row r="49" customFormat="false" ht="15" hidden="false" customHeight="false" outlineLevel="0" collapsed="false">
      <c r="A49" s="30" t="s">
        <v>731</v>
      </c>
      <c r="B49" s="30" t="s">
        <v>618</v>
      </c>
      <c r="C49" s="29" t="s">
        <v>732</v>
      </c>
      <c r="D49" s="30" t="s">
        <v>733</v>
      </c>
      <c r="E49" s="30" t="s">
        <v>625</v>
      </c>
    </row>
    <row r="50" customFormat="false" ht="15" hidden="false" customHeight="false" outlineLevel="0" collapsed="false">
      <c r="A50" s="9" t="s">
        <v>734</v>
      </c>
      <c r="B50" s="9" t="s">
        <v>618</v>
      </c>
      <c r="C50" s="8" t="s">
        <v>735</v>
      </c>
      <c r="D50" s="9" t="s">
        <v>736</v>
      </c>
      <c r="E50" s="9" t="s">
        <v>629</v>
      </c>
    </row>
    <row r="51" customFormat="false" ht="15" hidden="false" customHeight="false" outlineLevel="0" collapsed="false">
      <c r="A51" s="24" t="s">
        <v>737</v>
      </c>
      <c r="B51" s="24" t="s">
        <v>618</v>
      </c>
      <c r="C51" s="23" t="s">
        <v>738</v>
      </c>
      <c r="D51" s="24" t="s">
        <v>739</v>
      </c>
      <c r="E51" s="24" t="s">
        <v>621</v>
      </c>
    </row>
    <row r="52" customFormat="false" ht="15" hidden="false" customHeight="false" outlineLevel="0" collapsed="false">
      <c r="A52" s="30" t="s">
        <v>740</v>
      </c>
      <c r="B52" s="30" t="s">
        <v>618</v>
      </c>
      <c r="C52" s="29" t="s">
        <v>741</v>
      </c>
      <c r="D52" s="30" t="s">
        <v>742</v>
      </c>
      <c r="E52" s="30" t="s">
        <v>625</v>
      </c>
    </row>
    <row r="53" customFormat="false" ht="15" hidden="false" customHeight="false" outlineLevel="0" collapsed="false">
      <c r="A53" s="30" t="s">
        <v>743</v>
      </c>
      <c r="B53" s="30" t="s">
        <v>618</v>
      </c>
      <c r="C53" s="29" t="s">
        <v>658</v>
      </c>
      <c r="D53" s="30" t="s">
        <v>744</v>
      </c>
      <c r="E53" s="30" t="s">
        <v>625</v>
      </c>
    </row>
    <row r="54" customFormat="false" ht="15" hidden="false" customHeight="false" outlineLevel="0" collapsed="false">
      <c r="A54" s="30" t="s">
        <v>745</v>
      </c>
      <c r="B54" s="30" t="s">
        <v>618</v>
      </c>
      <c r="C54" s="29" t="s">
        <v>746</v>
      </c>
      <c r="D54" s="30"/>
      <c r="E54" s="30" t="s">
        <v>625</v>
      </c>
    </row>
    <row r="55" customFormat="false" ht="15" hidden="false" customHeight="false" outlineLevel="0" collapsed="false">
      <c r="A55" s="30" t="s">
        <v>747</v>
      </c>
      <c r="B55" s="30" t="s">
        <v>618</v>
      </c>
      <c r="C55" s="29" t="s">
        <v>748</v>
      </c>
      <c r="D55" s="30"/>
      <c r="E55" s="30" t="s">
        <v>625</v>
      </c>
    </row>
    <row r="56" customFormat="false" ht="15" hidden="false" customHeight="false" outlineLevel="0" collapsed="false">
      <c r="A56" s="30" t="s">
        <v>749</v>
      </c>
      <c r="B56" s="30" t="s">
        <v>618</v>
      </c>
      <c r="C56" s="29" t="s">
        <v>750</v>
      </c>
      <c r="D56" s="30" t="s">
        <v>751</v>
      </c>
      <c r="E56" s="30" t="s">
        <v>625</v>
      </c>
    </row>
    <row r="57" customFormat="false" ht="15" hidden="false" customHeight="false" outlineLevel="0" collapsed="false">
      <c r="A57" s="9" t="s">
        <v>752</v>
      </c>
      <c r="B57" s="9" t="s">
        <v>618</v>
      </c>
      <c r="C57" s="8" t="s">
        <v>64</v>
      </c>
      <c r="D57" s="9" t="s">
        <v>646</v>
      </c>
      <c r="E57" s="9" t="s">
        <v>629</v>
      </c>
    </row>
    <row r="58" customFormat="false" ht="15" hidden="false" customHeight="false" outlineLevel="0" collapsed="false">
      <c r="A58" s="24" t="s">
        <v>753</v>
      </c>
      <c r="B58" s="24" t="s">
        <v>618</v>
      </c>
      <c r="C58" s="23" t="s">
        <v>754</v>
      </c>
      <c r="D58" s="24" t="s">
        <v>755</v>
      </c>
      <c r="E58" s="24" t="s">
        <v>621</v>
      </c>
    </row>
    <row r="59" customFormat="false" ht="15" hidden="false" customHeight="false" outlineLevel="0" collapsed="false">
      <c r="A59" s="30" t="s">
        <v>756</v>
      </c>
      <c r="B59" s="30" t="s">
        <v>618</v>
      </c>
      <c r="C59" s="29" t="s">
        <v>706</v>
      </c>
      <c r="D59" s="30" t="s">
        <v>707</v>
      </c>
      <c r="E59" s="30" t="s">
        <v>625</v>
      </c>
    </row>
    <row r="60" customFormat="false" ht="15" hidden="false" customHeight="false" outlineLevel="0" collapsed="false">
      <c r="A60" s="30" t="s">
        <v>757</v>
      </c>
      <c r="B60" s="30" t="s">
        <v>618</v>
      </c>
      <c r="C60" s="29" t="s">
        <v>758</v>
      </c>
      <c r="D60" s="30" t="s">
        <v>631</v>
      </c>
      <c r="E60" s="30" t="s">
        <v>625</v>
      </c>
    </row>
    <row r="61" customFormat="false" ht="15" hidden="false" customHeight="false" outlineLevel="0" collapsed="false">
      <c r="A61" s="9" t="s">
        <v>759</v>
      </c>
      <c r="B61" s="9" t="s">
        <v>618</v>
      </c>
      <c r="C61" s="8" t="s">
        <v>676</v>
      </c>
      <c r="D61" s="9" t="s">
        <v>631</v>
      </c>
      <c r="E61" s="9" t="s">
        <v>629</v>
      </c>
    </row>
    <row r="62" customFormat="false" ht="15" hidden="false" customHeight="false" outlineLevel="0" collapsed="false">
      <c r="A62" s="9" t="s">
        <v>760</v>
      </c>
      <c r="B62" s="9" t="s">
        <v>618</v>
      </c>
      <c r="C62" s="8" t="s">
        <v>761</v>
      </c>
      <c r="D62" s="9"/>
      <c r="E62" s="9" t="s">
        <v>629</v>
      </c>
    </row>
    <row r="63" customFormat="false" ht="15" hidden="false" customHeight="false" outlineLevel="0" collapsed="false">
      <c r="A63" s="30" t="s">
        <v>762</v>
      </c>
      <c r="B63" s="30" t="s">
        <v>618</v>
      </c>
      <c r="C63" s="29" t="s">
        <v>763</v>
      </c>
      <c r="D63" s="30" t="s">
        <v>764</v>
      </c>
      <c r="E63" s="30" t="s">
        <v>625</v>
      </c>
    </row>
    <row r="64" customFormat="false" ht="15" hidden="false" customHeight="false" outlineLevel="0" collapsed="false">
      <c r="A64" s="9" t="s">
        <v>765</v>
      </c>
      <c r="B64" s="9" t="s">
        <v>618</v>
      </c>
      <c r="C64" s="8" t="s">
        <v>766</v>
      </c>
      <c r="D64" s="9"/>
      <c r="E64" s="9" t="s">
        <v>629</v>
      </c>
    </row>
    <row r="65" customFormat="false" ht="15" hidden="false" customHeight="false" outlineLevel="0" collapsed="false">
      <c r="A65" s="24" t="s">
        <v>767</v>
      </c>
      <c r="B65" s="24" t="s">
        <v>618</v>
      </c>
      <c r="C65" s="23" t="s">
        <v>711</v>
      </c>
      <c r="D65" s="24" t="s">
        <v>768</v>
      </c>
      <c r="E65" s="24" t="s">
        <v>621</v>
      </c>
    </row>
    <row r="66" customFormat="false" ht="15" hidden="false" customHeight="false" outlineLevel="0" collapsed="false">
      <c r="A66" s="24" t="s">
        <v>769</v>
      </c>
      <c r="B66" s="24" t="s">
        <v>618</v>
      </c>
      <c r="C66" s="23" t="s">
        <v>703</v>
      </c>
      <c r="D66" s="24" t="s">
        <v>770</v>
      </c>
      <c r="E66" s="24" t="s">
        <v>621</v>
      </c>
    </row>
    <row r="67" customFormat="false" ht="15" hidden="false" customHeight="false" outlineLevel="0" collapsed="false">
      <c r="A67" s="24" t="s">
        <v>771</v>
      </c>
      <c r="B67" s="24" t="s">
        <v>618</v>
      </c>
      <c r="C67" s="23" t="s">
        <v>703</v>
      </c>
      <c r="D67" s="24" t="s">
        <v>772</v>
      </c>
      <c r="E67" s="24" t="s">
        <v>621</v>
      </c>
    </row>
    <row r="68" customFormat="false" ht="15" hidden="false" customHeight="false" outlineLevel="0" collapsed="false">
      <c r="A68" s="9" t="s">
        <v>773</v>
      </c>
      <c r="B68" s="9" t="s">
        <v>618</v>
      </c>
      <c r="C68" s="8" t="s">
        <v>774</v>
      </c>
      <c r="D68" s="9"/>
      <c r="E68" s="9" t="s">
        <v>629</v>
      </c>
    </row>
    <row r="69" customFormat="false" ht="15" hidden="false" customHeight="false" outlineLevel="0" collapsed="false">
      <c r="A69" s="9" t="s">
        <v>775</v>
      </c>
      <c r="B69" s="9" t="s">
        <v>618</v>
      </c>
      <c r="C69" s="8" t="s">
        <v>776</v>
      </c>
      <c r="D69" s="9" t="s">
        <v>777</v>
      </c>
      <c r="E69" s="9" t="s">
        <v>629</v>
      </c>
    </row>
    <row r="70" customFormat="false" ht="15" hidden="false" customHeight="false" outlineLevel="0" collapsed="false">
      <c r="A70" s="9" t="s">
        <v>778</v>
      </c>
      <c r="B70" s="9" t="s">
        <v>618</v>
      </c>
      <c r="C70" s="8" t="s">
        <v>779</v>
      </c>
      <c r="D70" s="9" t="s">
        <v>780</v>
      </c>
      <c r="E70" s="9" t="s">
        <v>629</v>
      </c>
    </row>
    <row r="71" customFormat="false" ht="15" hidden="false" customHeight="false" outlineLevel="0" collapsed="false">
      <c r="A71" s="9" t="s">
        <v>781</v>
      </c>
      <c r="B71" s="9" t="s">
        <v>618</v>
      </c>
      <c r="C71" s="8" t="s">
        <v>782</v>
      </c>
      <c r="D71" s="9"/>
      <c r="E71" s="9" t="s">
        <v>629</v>
      </c>
    </row>
    <row r="72" customFormat="false" ht="15" hidden="false" customHeight="false" outlineLevel="0" collapsed="false">
      <c r="A72" s="9" t="s">
        <v>783</v>
      </c>
      <c r="B72" s="9" t="s">
        <v>618</v>
      </c>
      <c r="C72" s="8" t="s">
        <v>784</v>
      </c>
      <c r="D72" s="9" t="s">
        <v>631</v>
      </c>
      <c r="E72" s="9" t="s">
        <v>629</v>
      </c>
    </row>
    <row r="73" customFormat="false" ht="15" hidden="false" customHeight="false" outlineLevel="0" collapsed="false">
      <c r="A73" s="30" t="s">
        <v>785</v>
      </c>
      <c r="B73" s="30" t="s">
        <v>618</v>
      </c>
      <c r="C73" s="29" t="s">
        <v>786</v>
      </c>
      <c r="D73" s="30" t="s">
        <v>787</v>
      </c>
      <c r="E73" s="30" t="s">
        <v>625</v>
      </c>
    </row>
    <row r="74" customFormat="false" ht="15" hidden="false" customHeight="false" outlineLevel="0" collapsed="false">
      <c r="A74" s="30" t="s">
        <v>788</v>
      </c>
      <c r="B74" s="30" t="s">
        <v>618</v>
      </c>
      <c r="C74" s="29" t="s">
        <v>789</v>
      </c>
      <c r="D74" s="30" t="s">
        <v>790</v>
      </c>
      <c r="E74" s="30" t="s">
        <v>625</v>
      </c>
    </row>
    <row r="75" customFormat="false" ht="15" hidden="false" customHeight="false" outlineLevel="0" collapsed="false">
      <c r="A75" s="30" t="s">
        <v>791</v>
      </c>
      <c r="B75" s="30" t="s">
        <v>618</v>
      </c>
      <c r="C75" s="29" t="s">
        <v>792</v>
      </c>
      <c r="D75" s="30" t="s">
        <v>628</v>
      </c>
      <c r="E75" s="30" t="s">
        <v>625</v>
      </c>
    </row>
    <row r="76" customFormat="false" ht="15" hidden="false" customHeight="false" outlineLevel="0" collapsed="false">
      <c r="A76" s="9" t="s">
        <v>793</v>
      </c>
      <c r="B76" s="9" t="s">
        <v>618</v>
      </c>
      <c r="C76" s="8" t="s">
        <v>66</v>
      </c>
      <c r="D76" s="9" t="s">
        <v>646</v>
      </c>
      <c r="E76" s="9" t="s">
        <v>629</v>
      </c>
    </row>
    <row r="77" customFormat="false" ht="15" hidden="false" customHeight="false" outlineLevel="0" collapsed="false">
      <c r="A77" s="30" t="s">
        <v>794</v>
      </c>
      <c r="B77" s="30" t="s">
        <v>618</v>
      </c>
      <c r="C77" s="29" t="s">
        <v>795</v>
      </c>
      <c r="D77" s="30" t="s">
        <v>796</v>
      </c>
      <c r="E77" s="30" t="s">
        <v>625</v>
      </c>
    </row>
    <row r="78" customFormat="false" ht="15" hidden="false" customHeight="false" outlineLevel="0" collapsed="false">
      <c r="A78" s="9" t="s">
        <v>797</v>
      </c>
      <c r="B78" s="9" t="s">
        <v>618</v>
      </c>
      <c r="C78" s="8" t="s">
        <v>798</v>
      </c>
      <c r="D78" s="9" t="s">
        <v>799</v>
      </c>
      <c r="E78" s="9" t="s">
        <v>629</v>
      </c>
    </row>
    <row r="79" customFormat="false" ht="15" hidden="false" customHeight="false" outlineLevel="0" collapsed="false">
      <c r="A79" s="9" t="s">
        <v>800</v>
      </c>
      <c r="B79" s="9" t="s">
        <v>618</v>
      </c>
      <c r="C79" s="8" t="s">
        <v>716</v>
      </c>
      <c r="D79" s="9"/>
      <c r="E79" s="9" t="s">
        <v>629</v>
      </c>
    </row>
    <row r="80" customFormat="false" ht="15" hidden="false" customHeight="false" outlineLevel="0" collapsed="false">
      <c r="A80" s="30" t="s">
        <v>801</v>
      </c>
      <c r="B80" s="30" t="s">
        <v>618</v>
      </c>
      <c r="C80" s="29" t="s">
        <v>802</v>
      </c>
      <c r="D80" s="30"/>
      <c r="E80" s="30" t="s">
        <v>625</v>
      </c>
    </row>
    <row r="81" customFormat="false" ht="15" hidden="false" customHeight="false" outlineLevel="0" collapsed="false">
      <c r="A81" s="30" t="s">
        <v>803</v>
      </c>
      <c r="B81" s="30" t="s">
        <v>618</v>
      </c>
      <c r="C81" s="29" t="s">
        <v>804</v>
      </c>
      <c r="D81" s="30" t="s">
        <v>805</v>
      </c>
      <c r="E81" s="30" t="s">
        <v>625</v>
      </c>
    </row>
    <row r="82" customFormat="false" ht="15" hidden="false" customHeight="false" outlineLevel="0" collapsed="false">
      <c r="A82" s="30" t="s">
        <v>806</v>
      </c>
      <c r="B82" s="30" t="s">
        <v>618</v>
      </c>
      <c r="C82" s="29" t="s">
        <v>807</v>
      </c>
      <c r="D82" s="30" t="s">
        <v>651</v>
      </c>
      <c r="E82" s="30" t="s">
        <v>625</v>
      </c>
    </row>
    <row r="83" customFormat="false" ht="15" hidden="false" customHeight="false" outlineLevel="0" collapsed="false">
      <c r="A83" s="30" t="s">
        <v>808</v>
      </c>
      <c r="B83" s="30" t="s">
        <v>618</v>
      </c>
      <c r="C83" s="29" t="s">
        <v>809</v>
      </c>
      <c r="D83" s="30" t="s">
        <v>810</v>
      </c>
      <c r="E83" s="30" t="s">
        <v>625</v>
      </c>
    </row>
    <row r="84" customFormat="false" ht="15" hidden="false" customHeight="false" outlineLevel="0" collapsed="false">
      <c r="A84" s="24" t="s">
        <v>811</v>
      </c>
      <c r="B84" s="24" t="s">
        <v>618</v>
      </c>
      <c r="C84" s="23" t="s">
        <v>812</v>
      </c>
      <c r="D84" s="24" t="s">
        <v>813</v>
      </c>
      <c r="E84" s="24" t="s">
        <v>621</v>
      </c>
    </row>
    <row r="85" customFormat="false" ht="15" hidden="false" customHeight="false" outlineLevel="0" collapsed="false">
      <c r="A85" s="30" t="s">
        <v>814</v>
      </c>
      <c r="B85" s="30" t="s">
        <v>618</v>
      </c>
      <c r="C85" s="29" t="s">
        <v>815</v>
      </c>
      <c r="D85" s="30" t="s">
        <v>816</v>
      </c>
      <c r="E85" s="30" t="s">
        <v>625</v>
      </c>
    </row>
    <row r="86" customFormat="false" ht="15" hidden="false" customHeight="false" outlineLevel="0" collapsed="false">
      <c r="A86" s="9" t="s">
        <v>817</v>
      </c>
      <c r="B86" s="9" t="s">
        <v>618</v>
      </c>
      <c r="C86" s="8" t="s">
        <v>818</v>
      </c>
      <c r="D86" s="9" t="s">
        <v>819</v>
      </c>
      <c r="E86" s="9" t="s">
        <v>629</v>
      </c>
    </row>
    <row r="87" customFormat="false" ht="15" hidden="false" customHeight="false" outlineLevel="0" collapsed="false">
      <c r="A87" s="30" t="s">
        <v>820</v>
      </c>
      <c r="B87" s="30" t="s">
        <v>618</v>
      </c>
      <c r="C87" s="29" t="s">
        <v>821</v>
      </c>
      <c r="D87" s="30" t="s">
        <v>822</v>
      </c>
      <c r="E87" s="30" t="s">
        <v>625</v>
      </c>
    </row>
    <row r="88" customFormat="false" ht="15" hidden="false" customHeight="false" outlineLevel="0" collapsed="false">
      <c r="A88" s="9" t="s">
        <v>823</v>
      </c>
      <c r="B88" s="9" t="s">
        <v>618</v>
      </c>
      <c r="C88" s="8" t="s">
        <v>71</v>
      </c>
      <c r="D88" s="9"/>
      <c r="E88" s="9" t="s">
        <v>629</v>
      </c>
    </row>
    <row r="89" customFormat="false" ht="15" hidden="false" customHeight="false" outlineLevel="0" collapsed="false">
      <c r="A89" s="9" t="s">
        <v>824</v>
      </c>
      <c r="B89" s="9" t="s">
        <v>618</v>
      </c>
      <c r="C89" s="8" t="s">
        <v>776</v>
      </c>
      <c r="D89" s="9" t="s">
        <v>777</v>
      </c>
      <c r="E89" s="9" t="s">
        <v>629</v>
      </c>
    </row>
    <row r="90" customFormat="false" ht="15" hidden="false" customHeight="false" outlineLevel="0" collapsed="false">
      <c r="A90" s="30" t="s">
        <v>825</v>
      </c>
      <c r="B90" s="30" t="s">
        <v>618</v>
      </c>
      <c r="C90" s="29" t="s">
        <v>826</v>
      </c>
      <c r="D90" s="30"/>
      <c r="E90" s="30" t="s">
        <v>625</v>
      </c>
    </row>
    <row r="91" customFormat="false" ht="15" hidden="false" customHeight="false" outlineLevel="0" collapsed="false">
      <c r="A91" s="30" t="s">
        <v>827</v>
      </c>
      <c r="B91" s="30" t="s">
        <v>618</v>
      </c>
      <c r="C91" s="29" t="s">
        <v>828</v>
      </c>
      <c r="D91" s="30" t="s">
        <v>829</v>
      </c>
      <c r="E91" s="30" t="s">
        <v>625</v>
      </c>
    </row>
    <row r="92" customFormat="false" ht="15" hidden="false" customHeight="false" outlineLevel="0" collapsed="false">
      <c r="A92" s="9" t="s">
        <v>830</v>
      </c>
      <c r="B92" s="9" t="s">
        <v>618</v>
      </c>
      <c r="C92" s="8" t="s">
        <v>831</v>
      </c>
      <c r="D92" s="9"/>
      <c r="E92" s="9" t="s">
        <v>629</v>
      </c>
    </row>
    <row r="93" customFormat="false" ht="15" hidden="false" customHeight="false" outlineLevel="0" collapsed="false">
      <c r="A93" s="24" t="s">
        <v>832</v>
      </c>
      <c r="B93" s="24" t="s">
        <v>618</v>
      </c>
      <c r="C93" s="23" t="s">
        <v>703</v>
      </c>
      <c r="D93" s="24" t="s">
        <v>833</v>
      </c>
      <c r="E93" s="24" t="s">
        <v>621</v>
      </c>
    </row>
    <row r="94" customFormat="false" ht="15" hidden="false" customHeight="false" outlineLevel="0" collapsed="false">
      <c r="A94" s="9" t="s">
        <v>834</v>
      </c>
      <c r="B94" s="9" t="s">
        <v>618</v>
      </c>
      <c r="C94" s="8" t="s">
        <v>835</v>
      </c>
      <c r="D94" s="9"/>
      <c r="E94" s="9" t="s">
        <v>629</v>
      </c>
    </row>
    <row r="95" customFormat="false" ht="15" hidden="false" customHeight="false" outlineLevel="0" collapsed="false">
      <c r="A95" s="24" t="s">
        <v>836</v>
      </c>
      <c r="B95" s="24" t="s">
        <v>618</v>
      </c>
      <c r="C95" s="23" t="s">
        <v>837</v>
      </c>
      <c r="D95" s="24" t="s">
        <v>838</v>
      </c>
      <c r="E95" s="24" t="s">
        <v>621</v>
      </c>
    </row>
    <row r="96" customFormat="false" ht="15" hidden="false" customHeight="false" outlineLevel="0" collapsed="false">
      <c r="A96" s="9" t="s">
        <v>839</v>
      </c>
      <c r="B96" s="9" t="s">
        <v>618</v>
      </c>
      <c r="C96" s="8" t="s">
        <v>840</v>
      </c>
      <c r="D96" s="9"/>
      <c r="E96" s="9" t="s">
        <v>629</v>
      </c>
    </row>
    <row r="97" customFormat="false" ht="15" hidden="false" customHeight="false" outlineLevel="0" collapsed="false">
      <c r="A97" s="9" t="s">
        <v>841</v>
      </c>
      <c r="B97" s="9" t="s">
        <v>618</v>
      </c>
      <c r="C97" s="8" t="s">
        <v>842</v>
      </c>
      <c r="D97" s="9"/>
      <c r="E97" s="9" t="s">
        <v>629</v>
      </c>
    </row>
    <row r="98" customFormat="false" ht="15" hidden="false" customHeight="false" outlineLevel="0" collapsed="false">
      <c r="A98" s="9" t="s">
        <v>843</v>
      </c>
      <c r="B98" s="9" t="s">
        <v>618</v>
      </c>
      <c r="C98" s="8" t="s">
        <v>844</v>
      </c>
      <c r="D98" s="9"/>
      <c r="E98" s="9" t="s">
        <v>629</v>
      </c>
    </row>
    <row r="99" customFormat="false" ht="15" hidden="false" customHeight="false" outlineLevel="0" collapsed="false">
      <c r="A99" s="9" t="s">
        <v>845</v>
      </c>
      <c r="B99" s="9" t="s">
        <v>618</v>
      </c>
      <c r="C99" s="8" t="s">
        <v>846</v>
      </c>
      <c r="D99" s="9"/>
      <c r="E99" s="9" t="s">
        <v>629</v>
      </c>
    </row>
    <row r="100" customFormat="false" ht="15" hidden="false" customHeight="false" outlineLevel="0" collapsed="false">
      <c r="A100" s="9" t="s">
        <v>847</v>
      </c>
      <c r="B100" s="9" t="s">
        <v>618</v>
      </c>
      <c r="C100" s="8" t="s">
        <v>716</v>
      </c>
      <c r="D100" s="9" t="s">
        <v>822</v>
      </c>
      <c r="E100" s="9" t="s">
        <v>629</v>
      </c>
    </row>
    <row r="101" customFormat="false" ht="15" hidden="false" customHeight="false" outlineLevel="0" collapsed="false">
      <c r="A101" s="9" t="s">
        <v>848</v>
      </c>
      <c r="B101" s="9" t="s">
        <v>618</v>
      </c>
      <c r="C101" s="8" t="s">
        <v>849</v>
      </c>
      <c r="D101" s="9"/>
      <c r="E101" s="9" t="s">
        <v>629</v>
      </c>
    </row>
    <row r="102" customFormat="false" ht="15" hidden="false" customHeight="false" outlineLevel="0" collapsed="false">
      <c r="A102" s="9" t="s">
        <v>850</v>
      </c>
      <c r="B102" s="9" t="s">
        <v>618</v>
      </c>
      <c r="C102" s="8" t="s">
        <v>665</v>
      </c>
      <c r="D102" s="9" t="s">
        <v>628</v>
      </c>
      <c r="E102" s="9" t="s">
        <v>629</v>
      </c>
    </row>
    <row r="103" customFormat="false" ht="15" hidden="false" customHeight="false" outlineLevel="0" collapsed="false">
      <c r="A103" s="24" t="s">
        <v>851</v>
      </c>
      <c r="B103" s="24" t="s">
        <v>618</v>
      </c>
      <c r="C103" s="23" t="s">
        <v>852</v>
      </c>
      <c r="D103" s="24" t="s">
        <v>853</v>
      </c>
      <c r="E103" s="24" t="s">
        <v>621</v>
      </c>
    </row>
    <row r="104" customFormat="false" ht="15" hidden="false" customHeight="false" outlineLevel="0" collapsed="false">
      <c r="A104" s="24" t="s">
        <v>854</v>
      </c>
      <c r="B104" s="24" t="s">
        <v>618</v>
      </c>
      <c r="C104" s="23" t="s">
        <v>703</v>
      </c>
      <c r="D104" s="24" t="s">
        <v>855</v>
      </c>
      <c r="E104" s="24" t="s">
        <v>621</v>
      </c>
    </row>
    <row r="105" customFormat="false" ht="15" hidden="false" customHeight="false" outlineLevel="0" collapsed="false">
      <c r="A105" s="9" t="s">
        <v>856</v>
      </c>
      <c r="B105" s="9" t="s">
        <v>618</v>
      </c>
      <c r="C105" s="8" t="s">
        <v>857</v>
      </c>
      <c r="D105" s="9" t="s">
        <v>858</v>
      </c>
      <c r="E105" s="9" t="s">
        <v>629</v>
      </c>
    </row>
    <row r="106" customFormat="false" ht="15" hidden="false" customHeight="false" outlineLevel="0" collapsed="false">
      <c r="A106" s="30" t="s">
        <v>859</v>
      </c>
      <c r="B106" s="30" t="s">
        <v>618</v>
      </c>
      <c r="C106" s="29" t="s">
        <v>860</v>
      </c>
      <c r="D106" s="30" t="s">
        <v>238</v>
      </c>
      <c r="E106" s="30" t="s">
        <v>625</v>
      </c>
    </row>
    <row r="107" customFormat="false" ht="15" hidden="false" customHeight="false" outlineLevel="0" collapsed="false">
      <c r="A107" s="30" t="s">
        <v>861</v>
      </c>
      <c r="B107" s="30" t="s">
        <v>618</v>
      </c>
      <c r="C107" s="29" t="s">
        <v>828</v>
      </c>
      <c r="D107" s="30"/>
      <c r="E107" s="30" t="s">
        <v>625</v>
      </c>
    </row>
    <row r="108" customFormat="false" ht="15" hidden="false" customHeight="false" outlineLevel="0" collapsed="false">
      <c r="A108" s="30" t="s">
        <v>862</v>
      </c>
      <c r="B108" s="30" t="s">
        <v>618</v>
      </c>
      <c r="C108" s="29" t="s">
        <v>863</v>
      </c>
      <c r="D108" s="30" t="s">
        <v>628</v>
      </c>
      <c r="E108" s="30" t="s">
        <v>625</v>
      </c>
    </row>
    <row r="109" customFormat="false" ht="15" hidden="false" customHeight="false" outlineLevel="0" collapsed="false">
      <c r="A109" s="30" t="s">
        <v>864</v>
      </c>
      <c r="B109" s="30" t="s">
        <v>618</v>
      </c>
      <c r="C109" s="29" t="s">
        <v>863</v>
      </c>
      <c r="D109" s="30" t="s">
        <v>631</v>
      </c>
      <c r="E109" s="30" t="s">
        <v>625</v>
      </c>
    </row>
    <row r="110" customFormat="false" ht="15" hidden="false" customHeight="false" outlineLevel="0" collapsed="false">
      <c r="A110" s="30" t="s">
        <v>865</v>
      </c>
      <c r="B110" s="30" t="s">
        <v>618</v>
      </c>
      <c r="C110" s="29" t="s">
        <v>866</v>
      </c>
      <c r="D110" s="30"/>
      <c r="E110" s="30" t="s">
        <v>625</v>
      </c>
    </row>
    <row r="111" customFormat="false" ht="15" hidden="false" customHeight="false" outlineLevel="0" collapsed="false">
      <c r="A111" s="9" t="s">
        <v>867</v>
      </c>
      <c r="B111" s="9" t="s">
        <v>618</v>
      </c>
      <c r="C111" s="8" t="s">
        <v>69</v>
      </c>
      <c r="D111" s="9" t="s">
        <v>646</v>
      </c>
      <c r="E111" s="9" t="s">
        <v>629</v>
      </c>
    </row>
    <row r="112" customFormat="false" ht="15" hidden="false" customHeight="false" outlineLevel="0" collapsed="false">
      <c r="A112" s="24" t="s">
        <v>868</v>
      </c>
      <c r="B112" s="24" t="s">
        <v>618</v>
      </c>
      <c r="C112" s="23" t="s">
        <v>703</v>
      </c>
      <c r="D112" s="24" t="s">
        <v>869</v>
      </c>
      <c r="E112" s="24" t="s">
        <v>621</v>
      </c>
    </row>
    <row r="113" customFormat="false" ht="15" hidden="false" customHeight="false" outlineLevel="0" collapsed="false">
      <c r="A113" s="30" t="s">
        <v>870</v>
      </c>
      <c r="B113" s="30" t="s">
        <v>618</v>
      </c>
      <c r="C113" s="29" t="s">
        <v>871</v>
      </c>
      <c r="D113" s="30" t="s">
        <v>872</v>
      </c>
      <c r="E113" s="30" t="s">
        <v>625</v>
      </c>
    </row>
    <row r="114" customFormat="false" ht="15" hidden="false" customHeight="false" outlineLevel="0" collapsed="false">
      <c r="A114" s="30" t="s">
        <v>873</v>
      </c>
      <c r="B114" s="30" t="s">
        <v>618</v>
      </c>
      <c r="C114" s="29" t="s">
        <v>874</v>
      </c>
      <c r="D114" s="30" t="s">
        <v>875</v>
      </c>
      <c r="E114" s="30" t="s">
        <v>625</v>
      </c>
    </row>
    <row r="115" customFormat="false" ht="15" hidden="false" customHeight="false" outlineLevel="0" collapsed="false">
      <c r="A115" s="9" t="s">
        <v>876</v>
      </c>
      <c r="B115" s="9" t="s">
        <v>618</v>
      </c>
      <c r="C115" s="8" t="s">
        <v>46</v>
      </c>
      <c r="D115" s="9" t="s">
        <v>877</v>
      </c>
      <c r="E115" s="9" t="s">
        <v>629</v>
      </c>
    </row>
    <row r="116" customFormat="false" ht="15" hidden="false" customHeight="false" outlineLevel="0" collapsed="false">
      <c r="A116" s="30" t="s">
        <v>878</v>
      </c>
      <c r="B116" s="30" t="s">
        <v>618</v>
      </c>
      <c r="C116" s="29" t="s">
        <v>879</v>
      </c>
      <c r="D116" s="30" t="s">
        <v>880</v>
      </c>
      <c r="E116" s="30" t="s">
        <v>625</v>
      </c>
    </row>
    <row r="117" customFormat="false" ht="15" hidden="false" customHeight="false" outlineLevel="0" collapsed="false">
      <c r="A117" s="9" t="s">
        <v>881</v>
      </c>
      <c r="B117" s="9" t="s">
        <v>618</v>
      </c>
      <c r="C117" s="8" t="s">
        <v>53</v>
      </c>
      <c r="D117" s="9" t="s">
        <v>646</v>
      </c>
      <c r="E117" s="9" t="s">
        <v>629</v>
      </c>
    </row>
    <row r="118" customFormat="false" ht="15" hidden="false" customHeight="false" outlineLevel="0" collapsed="false">
      <c r="A118" s="9" t="s">
        <v>882</v>
      </c>
      <c r="B118" s="9" t="s">
        <v>618</v>
      </c>
      <c r="C118" s="8" t="s">
        <v>883</v>
      </c>
      <c r="D118" s="9"/>
      <c r="E118" s="9" t="s">
        <v>629</v>
      </c>
    </row>
    <row r="119" customFormat="false" ht="15" hidden="false" customHeight="false" outlineLevel="0" collapsed="false">
      <c r="A119" s="9" t="s">
        <v>884</v>
      </c>
      <c r="B119" s="9" t="s">
        <v>618</v>
      </c>
      <c r="C119" s="8" t="s">
        <v>885</v>
      </c>
      <c r="D119" s="9" t="s">
        <v>886</v>
      </c>
      <c r="E119" s="9" t="s">
        <v>629</v>
      </c>
    </row>
    <row r="120" customFormat="false" ht="15" hidden="false" customHeight="false" outlineLevel="0" collapsed="false">
      <c r="A120" s="9" t="s">
        <v>887</v>
      </c>
      <c r="B120" s="9" t="s">
        <v>618</v>
      </c>
      <c r="C120" s="8" t="s">
        <v>888</v>
      </c>
      <c r="D120" s="9"/>
      <c r="E120" s="9" t="s">
        <v>629</v>
      </c>
    </row>
    <row r="121" customFormat="false" ht="15" hidden="false" customHeight="false" outlineLevel="0" collapsed="false">
      <c r="A121" s="24" t="s">
        <v>889</v>
      </c>
      <c r="B121" s="24" t="s">
        <v>618</v>
      </c>
      <c r="C121" s="23" t="s">
        <v>703</v>
      </c>
      <c r="D121" s="24" t="s">
        <v>890</v>
      </c>
      <c r="E121" s="24" t="s">
        <v>621</v>
      </c>
    </row>
    <row r="122" customFormat="false" ht="15" hidden="false" customHeight="false" outlineLevel="0" collapsed="false">
      <c r="A122" s="9" t="s">
        <v>891</v>
      </c>
      <c r="B122" s="9" t="s">
        <v>618</v>
      </c>
      <c r="C122" s="8" t="s">
        <v>784</v>
      </c>
      <c r="D122" s="9"/>
      <c r="E122" s="9" t="s">
        <v>629</v>
      </c>
    </row>
    <row r="123" customFormat="false" ht="15" hidden="false" customHeight="false" outlineLevel="0" collapsed="false">
      <c r="A123" s="30" t="s">
        <v>892</v>
      </c>
      <c r="B123" s="30" t="s">
        <v>618</v>
      </c>
      <c r="C123" s="29" t="s">
        <v>893</v>
      </c>
      <c r="D123" s="30" t="s">
        <v>894</v>
      </c>
      <c r="E123" s="30" t="s">
        <v>625</v>
      </c>
    </row>
    <row r="124" customFormat="false" ht="15" hidden="false" customHeight="false" outlineLevel="0" collapsed="false">
      <c r="A124" s="9" t="s">
        <v>895</v>
      </c>
      <c r="B124" s="9" t="s">
        <v>618</v>
      </c>
      <c r="C124" s="8" t="s">
        <v>896</v>
      </c>
      <c r="D124" s="9"/>
      <c r="E124" s="9" t="s">
        <v>629</v>
      </c>
    </row>
    <row r="125" customFormat="false" ht="15" hidden="false" customHeight="false" outlineLevel="0" collapsed="false">
      <c r="A125" s="24" t="s">
        <v>897</v>
      </c>
      <c r="B125" s="24" t="s">
        <v>618</v>
      </c>
      <c r="C125" s="23" t="s">
        <v>703</v>
      </c>
      <c r="D125" s="24" t="s">
        <v>898</v>
      </c>
      <c r="E125" s="24" t="s">
        <v>621</v>
      </c>
    </row>
    <row r="126" customFormat="false" ht="15" hidden="false" customHeight="false" outlineLevel="0" collapsed="false">
      <c r="A126" s="30" t="s">
        <v>899</v>
      </c>
      <c r="B126" s="30" t="s">
        <v>618</v>
      </c>
      <c r="C126" s="29" t="s">
        <v>179</v>
      </c>
      <c r="D126" s="30" t="s">
        <v>238</v>
      </c>
      <c r="E126" s="30" t="s">
        <v>625</v>
      </c>
    </row>
    <row r="127" customFormat="false" ht="15" hidden="false" customHeight="false" outlineLevel="0" collapsed="false">
      <c r="A127" s="24" t="s">
        <v>900</v>
      </c>
      <c r="B127" s="24" t="s">
        <v>618</v>
      </c>
      <c r="C127" s="23" t="s">
        <v>703</v>
      </c>
      <c r="D127" s="24" t="s">
        <v>901</v>
      </c>
      <c r="E127" s="24" t="s">
        <v>621</v>
      </c>
    </row>
    <row r="128" customFormat="false" ht="15" hidden="false" customHeight="false" outlineLevel="0" collapsed="false">
      <c r="A128" s="24" t="s">
        <v>902</v>
      </c>
      <c r="B128" s="24" t="s">
        <v>618</v>
      </c>
      <c r="C128" s="23" t="s">
        <v>703</v>
      </c>
      <c r="D128" s="24" t="s">
        <v>903</v>
      </c>
      <c r="E128" s="24" t="s">
        <v>621</v>
      </c>
    </row>
    <row r="129" customFormat="false" ht="15" hidden="false" customHeight="false" outlineLevel="0" collapsed="false">
      <c r="A129" s="30" t="s">
        <v>904</v>
      </c>
      <c r="B129" s="30" t="s">
        <v>618</v>
      </c>
      <c r="C129" s="29" t="s">
        <v>874</v>
      </c>
      <c r="D129" s="30" t="s">
        <v>905</v>
      </c>
      <c r="E129" s="30" t="s">
        <v>625</v>
      </c>
    </row>
    <row r="130" customFormat="false" ht="15" hidden="false" customHeight="false" outlineLevel="0" collapsed="false">
      <c r="A130" s="30" t="s">
        <v>906</v>
      </c>
      <c r="B130" s="30" t="s">
        <v>618</v>
      </c>
      <c r="C130" s="29" t="s">
        <v>639</v>
      </c>
      <c r="D130" s="30" t="s">
        <v>907</v>
      </c>
      <c r="E130" s="30" t="s">
        <v>625</v>
      </c>
    </row>
    <row r="131" customFormat="false" ht="15" hidden="false" customHeight="false" outlineLevel="0" collapsed="false">
      <c r="A131" s="9" t="s">
        <v>908</v>
      </c>
      <c r="B131" s="9" t="s">
        <v>618</v>
      </c>
      <c r="C131" s="8" t="s">
        <v>909</v>
      </c>
      <c r="D131" s="9"/>
      <c r="E131" s="9" t="s">
        <v>629</v>
      </c>
    </row>
    <row r="132" customFormat="false" ht="15" hidden="false" customHeight="false" outlineLevel="0" collapsed="false">
      <c r="A132" s="9" t="s">
        <v>910</v>
      </c>
      <c r="B132" s="9" t="s">
        <v>618</v>
      </c>
      <c r="C132" s="8" t="s">
        <v>776</v>
      </c>
      <c r="D132" s="9"/>
      <c r="E132" s="9" t="s">
        <v>629</v>
      </c>
    </row>
    <row r="133" customFormat="false" ht="15" hidden="false" customHeight="false" outlineLevel="0" collapsed="false">
      <c r="A133" s="30" t="s">
        <v>911</v>
      </c>
      <c r="B133" s="30" t="s">
        <v>618</v>
      </c>
      <c r="C133" s="29" t="s">
        <v>912</v>
      </c>
      <c r="D133" s="30" t="s">
        <v>631</v>
      </c>
      <c r="E133" s="30" t="s">
        <v>625</v>
      </c>
    </row>
    <row r="134" customFormat="false" ht="15" hidden="false" customHeight="false" outlineLevel="0" collapsed="false">
      <c r="A134" s="30" t="s">
        <v>913</v>
      </c>
      <c r="B134" s="30" t="s">
        <v>618</v>
      </c>
      <c r="C134" s="29" t="s">
        <v>914</v>
      </c>
      <c r="D134" s="30" t="s">
        <v>915</v>
      </c>
      <c r="E134" s="30" t="s">
        <v>625</v>
      </c>
    </row>
    <row r="135" customFormat="false" ht="15" hidden="false" customHeight="false" outlineLevel="0" collapsed="false">
      <c r="A135" s="30" t="s">
        <v>916</v>
      </c>
      <c r="B135" s="30" t="s">
        <v>618</v>
      </c>
      <c r="C135" s="29" t="s">
        <v>763</v>
      </c>
      <c r="D135" s="30" t="s">
        <v>917</v>
      </c>
      <c r="E135" s="30" t="s">
        <v>625</v>
      </c>
    </row>
    <row r="136" customFormat="false" ht="15" hidden="false" customHeight="false" outlineLevel="0" collapsed="false">
      <c r="A136" s="9" t="s">
        <v>918</v>
      </c>
      <c r="B136" s="9" t="s">
        <v>618</v>
      </c>
      <c r="C136" s="8" t="s">
        <v>912</v>
      </c>
      <c r="D136" s="9" t="s">
        <v>628</v>
      </c>
      <c r="E136" s="9" t="s">
        <v>629</v>
      </c>
    </row>
    <row r="137" customFormat="false" ht="15" hidden="false" customHeight="false" outlineLevel="0" collapsed="false">
      <c r="A137" s="24" t="s">
        <v>919</v>
      </c>
      <c r="B137" s="24" t="s">
        <v>618</v>
      </c>
      <c r="C137" s="23" t="s">
        <v>703</v>
      </c>
      <c r="D137" s="24" t="s">
        <v>920</v>
      </c>
      <c r="E137" s="24" t="s">
        <v>621</v>
      </c>
    </row>
    <row r="138" customFormat="false" ht="15" hidden="false" customHeight="false" outlineLevel="0" collapsed="false">
      <c r="A138" s="9" t="s">
        <v>921</v>
      </c>
      <c r="B138" s="9" t="s">
        <v>618</v>
      </c>
      <c r="C138" s="8" t="s">
        <v>172</v>
      </c>
      <c r="D138" s="9"/>
      <c r="E138" s="9" t="s">
        <v>629</v>
      </c>
    </row>
    <row r="139" customFormat="false" ht="15" hidden="false" customHeight="false" outlineLevel="0" collapsed="false">
      <c r="A139" s="30" t="s">
        <v>922</v>
      </c>
      <c r="B139" s="30" t="s">
        <v>618</v>
      </c>
      <c r="C139" s="29" t="s">
        <v>923</v>
      </c>
      <c r="D139" s="30" t="s">
        <v>822</v>
      </c>
      <c r="E139" s="30" t="s">
        <v>625</v>
      </c>
    </row>
    <row r="140" customFormat="false" ht="15" hidden="false" customHeight="false" outlineLevel="0" collapsed="false">
      <c r="A140" s="9" t="s">
        <v>924</v>
      </c>
      <c r="B140" s="9" t="s">
        <v>618</v>
      </c>
      <c r="C140" s="8" t="s">
        <v>55</v>
      </c>
      <c r="D140" s="9" t="s">
        <v>646</v>
      </c>
      <c r="E140" s="9" t="s">
        <v>629</v>
      </c>
    </row>
    <row r="141" customFormat="false" ht="15" hidden="false" customHeight="false" outlineLevel="0" collapsed="false">
      <c r="A141" s="24" t="s">
        <v>925</v>
      </c>
      <c r="B141" s="24" t="s">
        <v>618</v>
      </c>
      <c r="C141" s="23" t="s">
        <v>703</v>
      </c>
      <c r="D141" s="24" t="s">
        <v>926</v>
      </c>
      <c r="E141" s="24" t="s">
        <v>621</v>
      </c>
    </row>
    <row r="142" customFormat="false" ht="15" hidden="false" customHeight="false" outlineLevel="0" collapsed="false">
      <c r="A142" s="24" t="s">
        <v>927</v>
      </c>
      <c r="B142" s="24" t="s">
        <v>618</v>
      </c>
      <c r="C142" s="23" t="s">
        <v>928</v>
      </c>
      <c r="D142" s="24" t="s">
        <v>929</v>
      </c>
      <c r="E142" s="24" t="s">
        <v>621</v>
      </c>
    </row>
    <row r="143" customFormat="false" ht="15" hidden="false" customHeight="false" outlineLevel="0" collapsed="false">
      <c r="A143" s="9" t="s">
        <v>930</v>
      </c>
      <c r="B143" s="9" t="s">
        <v>618</v>
      </c>
      <c r="C143" s="8" t="s">
        <v>68</v>
      </c>
      <c r="D143" s="9" t="s">
        <v>646</v>
      </c>
      <c r="E143" s="9" t="s">
        <v>629</v>
      </c>
    </row>
    <row r="144" customFormat="false" ht="15" hidden="false" customHeight="false" outlineLevel="0" collapsed="false">
      <c r="A144" s="9" t="s">
        <v>931</v>
      </c>
      <c r="B144" s="9" t="s">
        <v>618</v>
      </c>
      <c r="C144" s="8" t="s">
        <v>56</v>
      </c>
      <c r="D144" s="9" t="s">
        <v>646</v>
      </c>
      <c r="E144" s="9" t="s">
        <v>629</v>
      </c>
    </row>
    <row r="145" customFormat="false" ht="15" hidden="false" customHeight="false" outlineLevel="0" collapsed="false">
      <c r="A145" s="9" t="s">
        <v>932</v>
      </c>
      <c r="B145" s="9" t="s">
        <v>618</v>
      </c>
      <c r="C145" s="8" t="s">
        <v>933</v>
      </c>
      <c r="D145" s="9" t="s">
        <v>646</v>
      </c>
      <c r="E145" s="9" t="s">
        <v>629</v>
      </c>
    </row>
    <row r="146" customFormat="false" ht="15" hidden="false" customHeight="false" outlineLevel="0" collapsed="false">
      <c r="A146" s="24" t="s">
        <v>934</v>
      </c>
      <c r="B146" s="24" t="s">
        <v>618</v>
      </c>
      <c r="C146" s="23" t="s">
        <v>935</v>
      </c>
      <c r="D146" s="24" t="s">
        <v>936</v>
      </c>
      <c r="E146" s="24" t="s">
        <v>621</v>
      </c>
    </row>
    <row r="147" customFormat="false" ht="15" hidden="false" customHeight="false" outlineLevel="0" collapsed="false">
      <c r="A147" s="30" t="s">
        <v>937</v>
      </c>
      <c r="B147" s="30" t="s">
        <v>618</v>
      </c>
      <c r="C147" s="29" t="s">
        <v>938</v>
      </c>
      <c r="D147" s="30"/>
      <c r="E147" s="30" t="s">
        <v>625</v>
      </c>
    </row>
    <row r="148" customFormat="false" ht="15" hidden="false" customHeight="false" outlineLevel="0" collapsed="false">
      <c r="A148" s="30" t="s">
        <v>939</v>
      </c>
      <c r="B148" s="30" t="s">
        <v>618</v>
      </c>
      <c r="C148" s="29" t="s">
        <v>940</v>
      </c>
      <c r="D148" s="30" t="s">
        <v>941</v>
      </c>
      <c r="E148" s="30" t="s">
        <v>625</v>
      </c>
    </row>
    <row r="149" customFormat="false" ht="15" hidden="false" customHeight="false" outlineLevel="0" collapsed="false">
      <c r="A149" s="30" t="s">
        <v>942</v>
      </c>
      <c r="B149" s="30" t="s">
        <v>618</v>
      </c>
      <c r="C149" s="29" t="s">
        <v>943</v>
      </c>
      <c r="D149" s="30" t="s">
        <v>944</v>
      </c>
      <c r="E149" s="30" t="s">
        <v>625</v>
      </c>
    </row>
    <row r="150" customFormat="false" ht="15" hidden="false" customHeight="false" outlineLevel="0" collapsed="false">
      <c r="A150" s="9" t="s">
        <v>945</v>
      </c>
      <c r="B150" s="9" t="s">
        <v>618</v>
      </c>
      <c r="C150" s="8" t="s">
        <v>946</v>
      </c>
      <c r="D150" s="9"/>
      <c r="E150" s="9" t="s">
        <v>629</v>
      </c>
    </row>
    <row r="151" customFormat="false" ht="15" hidden="false" customHeight="false" outlineLevel="0" collapsed="false">
      <c r="A151" s="9" t="s">
        <v>947</v>
      </c>
      <c r="B151" s="9" t="s">
        <v>618</v>
      </c>
      <c r="C151" s="8" t="s">
        <v>948</v>
      </c>
      <c r="D151" s="9"/>
      <c r="E151" s="9" t="s">
        <v>629</v>
      </c>
    </row>
    <row r="152" customFormat="false" ht="15" hidden="false" customHeight="false" outlineLevel="0" collapsed="false">
      <c r="A152" s="9" t="s">
        <v>949</v>
      </c>
      <c r="B152" s="9" t="s">
        <v>618</v>
      </c>
      <c r="C152" s="8" t="s">
        <v>950</v>
      </c>
      <c r="D152" s="9"/>
      <c r="E152" s="9" t="s">
        <v>629</v>
      </c>
    </row>
    <row r="153" customFormat="false" ht="15" hidden="false" customHeight="false" outlineLevel="0" collapsed="false">
      <c r="A153" s="9" t="s">
        <v>951</v>
      </c>
      <c r="B153" s="9" t="s">
        <v>618</v>
      </c>
      <c r="C153" s="8" t="s">
        <v>952</v>
      </c>
      <c r="D153" s="9"/>
      <c r="E153" s="9" t="s">
        <v>629</v>
      </c>
    </row>
    <row r="154" customFormat="false" ht="15" hidden="false" customHeight="false" outlineLevel="0" collapsed="false">
      <c r="A154" s="30" t="s">
        <v>953</v>
      </c>
      <c r="B154" s="30" t="s">
        <v>618</v>
      </c>
      <c r="C154" s="29" t="s">
        <v>954</v>
      </c>
      <c r="D154" s="30"/>
      <c r="E154" s="30" t="s">
        <v>625</v>
      </c>
    </row>
    <row r="155" customFormat="false" ht="15" hidden="false" customHeight="false" outlineLevel="0" collapsed="false">
      <c r="A155" s="9" t="s">
        <v>955</v>
      </c>
      <c r="B155" s="9" t="s">
        <v>618</v>
      </c>
      <c r="C155" s="8" t="s">
        <v>956</v>
      </c>
      <c r="D155" s="9" t="s">
        <v>957</v>
      </c>
      <c r="E155" s="9" t="s">
        <v>629</v>
      </c>
    </row>
    <row r="156" customFormat="false" ht="15" hidden="false" customHeight="false" outlineLevel="0" collapsed="false">
      <c r="A156" s="30" t="s">
        <v>958</v>
      </c>
      <c r="B156" s="30" t="s">
        <v>618</v>
      </c>
      <c r="C156" s="29" t="s">
        <v>959</v>
      </c>
      <c r="D156" s="30" t="s">
        <v>822</v>
      </c>
      <c r="E156" s="30" t="s">
        <v>625</v>
      </c>
    </row>
    <row r="157" customFormat="false" ht="15" hidden="false" customHeight="false" outlineLevel="0" collapsed="false">
      <c r="A157" s="30" t="s">
        <v>960</v>
      </c>
      <c r="B157" s="30" t="s">
        <v>618</v>
      </c>
      <c r="C157" s="29" t="s">
        <v>866</v>
      </c>
      <c r="D157" s="30"/>
      <c r="E157" s="30" t="s">
        <v>625</v>
      </c>
    </row>
    <row r="158" customFormat="false" ht="15" hidden="false" customHeight="false" outlineLevel="0" collapsed="false">
      <c r="A158" s="24" t="s">
        <v>961</v>
      </c>
      <c r="B158" s="24" t="s">
        <v>618</v>
      </c>
      <c r="C158" s="23" t="s">
        <v>703</v>
      </c>
      <c r="D158" s="24" t="s">
        <v>962</v>
      </c>
      <c r="E158" s="24" t="s">
        <v>621</v>
      </c>
    </row>
    <row r="159" customFormat="false" ht="15" hidden="false" customHeight="false" outlineLevel="0" collapsed="false">
      <c r="A159" s="24" t="s">
        <v>963</v>
      </c>
      <c r="B159" s="24" t="s">
        <v>618</v>
      </c>
      <c r="C159" s="23" t="s">
        <v>703</v>
      </c>
      <c r="D159" s="24" t="s">
        <v>964</v>
      </c>
      <c r="E159" s="24" t="s">
        <v>621</v>
      </c>
    </row>
    <row r="160" customFormat="false" ht="15" hidden="false" customHeight="false" outlineLevel="0" collapsed="false">
      <c r="A160" s="30" t="s">
        <v>965</v>
      </c>
      <c r="B160" s="30" t="s">
        <v>618</v>
      </c>
      <c r="C160" s="29" t="s">
        <v>750</v>
      </c>
      <c r="D160" s="30" t="s">
        <v>628</v>
      </c>
      <c r="E160" s="30" t="s">
        <v>625</v>
      </c>
    </row>
    <row r="161" customFormat="false" ht="15" hidden="false" customHeight="false" outlineLevel="0" collapsed="false">
      <c r="A161" s="30" t="s">
        <v>966</v>
      </c>
      <c r="B161" s="30" t="s">
        <v>618</v>
      </c>
      <c r="C161" s="29" t="s">
        <v>967</v>
      </c>
      <c r="D161" s="30" t="s">
        <v>651</v>
      </c>
      <c r="E161" s="30" t="s">
        <v>625</v>
      </c>
    </row>
    <row r="162" customFormat="false" ht="15" hidden="false" customHeight="false" outlineLevel="0" collapsed="false">
      <c r="A162" s="9" t="s">
        <v>968</v>
      </c>
      <c r="B162" s="9" t="s">
        <v>618</v>
      </c>
      <c r="C162" s="8" t="s">
        <v>969</v>
      </c>
      <c r="D162" s="9"/>
      <c r="E162" s="9" t="s">
        <v>629</v>
      </c>
    </row>
    <row r="163" customFormat="false" ht="15" hidden="false" customHeight="false" outlineLevel="0" collapsed="false">
      <c r="A163" s="30" t="s">
        <v>970</v>
      </c>
      <c r="B163" s="30" t="s">
        <v>618</v>
      </c>
      <c r="C163" s="29" t="s">
        <v>971</v>
      </c>
      <c r="D163" s="30"/>
      <c r="E163" s="30" t="s">
        <v>625</v>
      </c>
    </row>
    <row r="164" customFormat="false" ht="15" hidden="false" customHeight="false" outlineLevel="0" collapsed="false">
      <c r="A164" s="30" t="s">
        <v>972</v>
      </c>
      <c r="B164" s="30" t="s">
        <v>618</v>
      </c>
      <c r="C164" s="29" t="s">
        <v>758</v>
      </c>
      <c r="D164" s="30" t="s">
        <v>973</v>
      </c>
      <c r="E164" s="30" t="s">
        <v>625</v>
      </c>
    </row>
    <row r="165" customFormat="false" ht="15" hidden="false" customHeight="false" outlineLevel="0" collapsed="false">
      <c r="A165" s="9" t="s">
        <v>974</v>
      </c>
      <c r="B165" s="9" t="s">
        <v>618</v>
      </c>
      <c r="C165" s="8" t="s">
        <v>975</v>
      </c>
      <c r="D165" s="9"/>
      <c r="E165" s="9" t="s">
        <v>629</v>
      </c>
    </row>
    <row r="166" customFormat="false" ht="15" hidden="false" customHeight="false" outlineLevel="0" collapsed="false">
      <c r="A166" s="9" t="s">
        <v>976</v>
      </c>
      <c r="B166" s="9" t="s">
        <v>618</v>
      </c>
      <c r="C166" s="8" t="s">
        <v>977</v>
      </c>
      <c r="D166" s="9"/>
      <c r="E166" s="9" t="s">
        <v>629</v>
      </c>
    </row>
    <row r="167" customFormat="false" ht="15" hidden="false" customHeight="false" outlineLevel="0" collapsed="false">
      <c r="A167" s="30" t="s">
        <v>978</v>
      </c>
      <c r="B167" s="30" t="s">
        <v>618</v>
      </c>
      <c r="C167" s="29" t="s">
        <v>979</v>
      </c>
      <c r="D167" s="30" t="s">
        <v>628</v>
      </c>
      <c r="E167" s="30" t="s">
        <v>625</v>
      </c>
    </row>
    <row r="168" customFormat="false" ht="15" hidden="false" customHeight="false" outlineLevel="0" collapsed="false">
      <c r="A168" s="9" t="s">
        <v>980</v>
      </c>
      <c r="B168" s="9" t="s">
        <v>618</v>
      </c>
      <c r="C168" s="8" t="s">
        <v>981</v>
      </c>
      <c r="D168" s="9" t="s">
        <v>982</v>
      </c>
      <c r="E168" s="9" t="s">
        <v>629</v>
      </c>
    </row>
    <row r="169" customFormat="false" ht="15" hidden="false" customHeight="false" outlineLevel="0" collapsed="false">
      <c r="A169" s="9" t="s">
        <v>983</v>
      </c>
      <c r="B169" s="9" t="s">
        <v>618</v>
      </c>
      <c r="C169" s="8" t="s">
        <v>65</v>
      </c>
      <c r="D169" s="9" t="s">
        <v>877</v>
      </c>
      <c r="E169" s="9" t="s">
        <v>629</v>
      </c>
    </row>
    <row r="170" customFormat="false" ht="15" hidden="false" customHeight="false" outlineLevel="0" collapsed="false">
      <c r="A170" s="30" t="s">
        <v>984</v>
      </c>
      <c r="B170" s="30" t="s">
        <v>618</v>
      </c>
      <c r="C170" s="29" t="s">
        <v>979</v>
      </c>
      <c r="D170" s="30" t="s">
        <v>631</v>
      </c>
      <c r="E170" s="30" t="s">
        <v>625</v>
      </c>
    </row>
    <row r="171" customFormat="false" ht="15" hidden="false" customHeight="false" outlineLevel="0" collapsed="false">
      <c r="A171" s="9" t="s">
        <v>985</v>
      </c>
      <c r="B171" s="9" t="s">
        <v>618</v>
      </c>
      <c r="C171" s="8" t="s">
        <v>986</v>
      </c>
      <c r="D171" s="9" t="s">
        <v>838</v>
      </c>
      <c r="E171" s="9" t="s">
        <v>629</v>
      </c>
    </row>
    <row r="172" customFormat="false" ht="15" hidden="false" customHeight="false" outlineLevel="0" collapsed="false">
      <c r="A172" s="9" t="s">
        <v>987</v>
      </c>
      <c r="B172" s="9" t="s">
        <v>618</v>
      </c>
      <c r="C172" s="8" t="s">
        <v>988</v>
      </c>
      <c r="D172" s="9" t="s">
        <v>48</v>
      </c>
      <c r="E172" s="9" t="s">
        <v>629</v>
      </c>
    </row>
    <row r="173" customFormat="false" ht="15" hidden="false" customHeight="false" outlineLevel="0" collapsed="false">
      <c r="A173" s="9" t="s">
        <v>989</v>
      </c>
      <c r="B173" s="9" t="s">
        <v>618</v>
      </c>
      <c r="C173" s="8" t="s">
        <v>990</v>
      </c>
      <c r="D173" s="9"/>
      <c r="E173" s="9" t="s">
        <v>629</v>
      </c>
    </row>
    <row r="174" customFormat="false" ht="15" hidden="false" customHeight="false" outlineLevel="0" collapsed="false">
      <c r="A174" s="24" t="s">
        <v>991</v>
      </c>
      <c r="B174" s="24" t="s">
        <v>618</v>
      </c>
      <c r="C174" s="23" t="s">
        <v>703</v>
      </c>
      <c r="D174" s="24" t="s">
        <v>992</v>
      </c>
      <c r="E174" s="24" t="s">
        <v>621</v>
      </c>
    </row>
    <row r="175" customFormat="false" ht="15" hidden="false" customHeight="false" outlineLevel="0" collapsed="false">
      <c r="A175" s="30" t="s">
        <v>993</v>
      </c>
      <c r="B175" s="30" t="s">
        <v>618</v>
      </c>
      <c r="C175" s="29" t="s">
        <v>994</v>
      </c>
      <c r="D175" s="30" t="s">
        <v>995</v>
      </c>
      <c r="E175" s="30" t="s">
        <v>625</v>
      </c>
    </row>
    <row r="176" customFormat="false" ht="15" hidden="false" customHeight="false" outlineLevel="0" collapsed="false">
      <c r="A176" s="30" t="s">
        <v>996</v>
      </c>
      <c r="B176" s="30" t="s">
        <v>618</v>
      </c>
      <c r="C176" s="29" t="s">
        <v>997</v>
      </c>
      <c r="D176" s="30"/>
      <c r="E176" s="30" t="s">
        <v>625</v>
      </c>
    </row>
    <row r="177" customFormat="false" ht="15" hidden="false" customHeight="false" outlineLevel="0" collapsed="false">
      <c r="A177" s="9" t="s">
        <v>998</v>
      </c>
      <c r="B177" s="9" t="s">
        <v>618</v>
      </c>
      <c r="C177" s="8" t="s">
        <v>779</v>
      </c>
      <c r="D177" s="9"/>
      <c r="E177" s="9" t="s">
        <v>629</v>
      </c>
    </row>
    <row r="178" customFormat="false" ht="15" hidden="false" customHeight="false" outlineLevel="0" collapsed="false">
      <c r="A178" s="30" t="s">
        <v>999</v>
      </c>
      <c r="B178" s="30" t="s">
        <v>618</v>
      </c>
      <c r="C178" s="29" t="s">
        <v>1000</v>
      </c>
      <c r="D178" s="30"/>
      <c r="E178" s="30" t="s">
        <v>625</v>
      </c>
    </row>
    <row r="179" customFormat="false" ht="15" hidden="false" customHeight="false" outlineLevel="0" collapsed="false">
      <c r="A179" s="9" t="s">
        <v>1001</v>
      </c>
      <c r="B179" s="9" t="s">
        <v>618</v>
      </c>
      <c r="C179" s="8" t="s">
        <v>1002</v>
      </c>
      <c r="D179" s="9"/>
      <c r="E179" s="9" t="s">
        <v>629</v>
      </c>
    </row>
    <row r="180" customFormat="false" ht="15" hidden="false" customHeight="false" outlineLevel="0" collapsed="false">
      <c r="A180" s="9" t="s">
        <v>1003</v>
      </c>
      <c r="B180" s="9" t="s">
        <v>618</v>
      </c>
      <c r="C180" s="8" t="s">
        <v>716</v>
      </c>
      <c r="D180" s="9"/>
      <c r="E180" s="9" t="s">
        <v>629</v>
      </c>
    </row>
    <row r="181" customFormat="false" ht="15" hidden="false" customHeight="false" outlineLevel="0" collapsed="false">
      <c r="A181" s="30" t="s">
        <v>1004</v>
      </c>
      <c r="B181" s="30" t="s">
        <v>618</v>
      </c>
      <c r="C181" s="29" t="s">
        <v>1005</v>
      </c>
      <c r="D181" s="30" t="s">
        <v>810</v>
      </c>
      <c r="E181" s="30" t="s">
        <v>625</v>
      </c>
    </row>
    <row r="182" customFormat="false" ht="15" hidden="false" customHeight="false" outlineLevel="0" collapsed="false">
      <c r="A182" s="30" t="s">
        <v>1006</v>
      </c>
      <c r="B182" s="30" t="s">
        <v>618</v>
      </c>
      <c r="C182" s="29" t="s">
        <v>792</v>
      </c>
      <c r="D182" s="30" t="s">
        <v>631</v>
      </c>
      <c r="E182" s="30" t="s">
        <v>625</v>
      </c>
    </row>
    <row r="183" customFormat="false" ht="15" hidden="false" customHeight="false" outlineLevel="0" collapsed="false">
      <c r="A183" s="9" t="s">
        <v>1007</v>
      </c>
      <c r="B183" s="9" t="s">
        <v>618</v>
      </c>
      <c r="C183" s="8" t="s">
        <v>1008</v>
      </c>
      <c r="D183" s="9"/>
      <c r="E183" s="9" t="s">
        <v>629</v>
      </c>
    </row>
    <row r="184" customFormat="false" ht="15" hidden="false" customHeight="false" outlineLevel="0" collapsed="false">
      <c r="A184" s="30" t="s">
        <v>1009</v>
      </c>
      <c r="B184" s="30" t="s">
        <v>618</v>
      </c>
      <c r="C184" s="29" t="s">
        <v>1010</v>
      </c>
      <c r="D184" s="30"/>
      <c r="E184" s="30" t="s">
        <v>625</v>
      </c>
    </row>
    <row r="185" customFormat="false" ht="15" hidden="false" customHeight="false" outlineLevel="0" collapsed="false">
      <c r="A185" s="30" t="s">
        <v>1011</v>
      </c>
      <c r="B185" s="30" t="s">
        <v>618</v>
      </c>
      <c r="C185" s="29" t="s">
        <v>1012</v>
      </c>
      <c r="D185" s="30"/>
      <c r="E185" s="30" t="s">
        <v>625</v>
      </c>
    </row>
    <row r="186" customFormat="false" ht="15" hidden="false" customHeight="false" outlineLevel="0" collapsed="false">
      <c r="A186" s="24" t="s">
        <v>1013</v>
      </c>
      <c r="B186" s="24" t="s">
        <v>618</v>
      </c>
      <c r="C186" s="23" t="s">
        <v>1014</v>
      </c>
      <c r="D186" s="24" t="s">
        <v>1015</v>
      </c>
      <c r="E186" s="24" t="s">
        <v>621</v>
      </c>
    </row>
    <row r="187" customFormat="false" ht="15" hidden="false" customHeight="false" outlineLevel="0" collapsed="false">
      <c r="A187" s="9" t="s">
        <v>1016</v>
      </c>
      <c r="B187" s="9" t="s">
        <v>618</v>
      </c>
      <c r="C187" s="8" t="s">
        <v>1017</v>
      </c>
      <c r="D187" s="9"/>
      <c r="E187" s="9" t="s">
        <v>629</v>
      </c>
    </row>
    <row r="188" customFormat="false" ht="15" hidden="false" customHeight="false" outlineLevel="0" collapsed="false">
      <c r="A188" s="9" t="s">
        <v>433</v>
      </c>
      <c r="B188" s="9" t="s">
        <v>1018</v>
      </c>
      <c r="C188" s="8" t="s">
        <v>434</v>
      </c>
      <c r="D188" s="9" t="s">
        <v>1019</v>
      </c>
      <c r="E188" s="9" t="s">
        <v>629</v>
      </c>
    </row>
    <row r="189" customFormat="false" ht="15" hidden="false" customHeight="false" outlineLevel="0" collapsed="false">
      <c r="A189" s="9" t="s">
        <v>438</v>
      </c>
      <c r="B189" s="9" t="s">
        <v>1018</v>
      </c>
      <c r="C189" s="8" t="s">
        <v>434</v>
      </c>
      <c r="D189" s="9" t="s">
        <v>1019</v>
      </c>
      <c r="E189" s="9" t="s">
        <v>629</v>
      </c>
    </row>
    <row r="190" customFormat="false" ht="15" hidden="false" customHeight="false" outlineLevel="0" collapsed="false">
      <c r="A190" s="9" t="s">
        <v>440</v>
      </c>
      <c r="B190" s="9" t="s">
        <v>1018</v>
      </c>
      <c r="C190" s="8" t="s">
        <v>434</v>
      </c>
      <c r="D190" s="9" t="s">
        <v>1019</v>
      </c>
      <c r="E190" s="9" t="s">
        <v>629</v>
      </c>
    </row>
    <row r="191" customFormat="false" ht="15" hidden="false" customHeight="false" outlineLevel="0" collapsed="false">
      <c r="A191" s="9" t="s">
        <v>441</v>
      </c>
      <c r="B191" s="9" t="s">
        <v>1018</v>
      </c>
      <c r="C191" s="8" t="s">
        <v>434</v>
      </c>
      <c r="D191" s="9" t="s">
        <v>1019</v>
      </c>
      <c r="E191" s="9" t="s">
        <v>629</v>
      </c>
    </row>
    <row r="192" customFormat="false" ht="15" hidden="false" customHeight="false" outlineLevel="0" collapsed="false">
      <c r="A192" s="9" t="s">
        <v>442</v>
      </c>
      <c r="B192" s="9" t="s">
        <v>1018</v>
      </c>
      <c r="C192" s="8" t="s">
        <v>447</v>
      </c>
      <c r="D192" s="9" t="s">
        <v>445</v>
      </c>
      <c r="E192" s="9" t="s">
        <v>629</v>
      </c>
    </row>
    <row r="193" customFormat="false" ht="15" hidden="false" customHeight="false" outlineLevel="0" collapsed="false">
      <c r="A193" s="30" t="s">
        <v>446</v>
      </c>
      <c r="B193" s="30" t="s">
        <v>1018</v>
      </c>
      <c r="C193" s="29" t="s">
        <v>447</v>
      </c>
      <c r="D193" s="30" t="s">
        <v>1020</v>
      </c>
      <c r="E193" s="30" t="s">
        <v>625</v>
      </c>
    </row>
    <row r="194" customFormat="false" ht="15" hidden="false" customHeight="false" outlineLevel="0" collapsed="false">
      <c r="A194" s="9" t="s">
        <v>449</v>
      </c>
      <c r="B194" s="9" t="s">
        <v>1018</v>
      </c>
      <c r="C194" s="8" t="s">
        <v>450</v>
      </c>
      <c r="D194" s="9" t="s">
        <v>445</v>
      </c>
      <c r="E194" s="9" t="s">
        <v>629</v>
      </c>
    </row>
    <row r="195" customFormat="false" ht="15" hidden="false" customHeight="false" outlineLevel="0" collapsed="false">
      <c r="A195" s="9" t="s">
        <v>454</v>
      </c>
      <c r="B195" s="9" t="s">
        <v>1018</v>
      </c>
      <c r="C195" s="8" t="s">
        <v>455</v>
      </c>
      <c r="D195" s="9" t="s">
        <v>458</v>
      </c>
      <c r="E195" s="9" t="s">
        <v>629</v>
      </c>
    </row>
    <row r="196" customFormat="false" ht="15" hidden="false" customHeight="false" outlineLevel="0" collapsed="false">
      <c r="A196" s="9" t="s">
        <v>459</v>
      </c>
      <c r="B196" s="9" t="s">
        <v>1018</v>
      </c>
      <c r="C196" s="8" t="s">
        <v>462</v>
      </c>
      <c r="D196" s="9" t="s">
        <v>445</v>
      </c>
      <c r="E196" s="9" t="s">
        <v>629</v>
      </c>
    </row>
    <row r="197" customFormat="false" ht="15" hidden="false" customHeight="false" outlineLevel="0" collapsed="false">
      <c r="A197" s="30" t="s">
        <v>461</v>
      </c>
      <c r="B197" s="30" t="s">
        <v>1018</v>
      </c>
      <c r="C197" s="29" t="s">
        <v>462</v>
      </c>
      <c r="D197" s="30" t="s">
        <v>1020</v>
      </c>
      <c r="E197" s="30" t="s">
        <v>625</v>
      </c>
    </row>
    <row r="198" customFormat="false" ht="15" hidden="false" customHeight="false" outlineLevel="0" collapsed="false">
      <c r="A198" s="9" t="s">
        <v>463</v>
      </c>
      <c r="B198" s="9" t="s">
        <v>1018</v>
      </c>
      <c r="C198" s="8" t="s">
        <v>466</v>
      </c>
      <c r="D198" s="9" t="s">
        <v>445</v>
      </c>
      <c r="E198" s="9" t="s">
        <v>629</v>
      </c>
    </row>
    <row r="199" customFormat="false" ht="15" hidden="false" customHeight="false" outlineLevel="0" collapsed="false">
      <c r="A199" s="30" t="s">
        <v>465</v>
      </c>
      <c r="B199" s="30" t="s">
        <v>1018</v>
      </c>
      <c r="C199" s="29" t="s">
        <v>466</v>
      </c>
      <c r="D199" s="30" t="s">
        <v>1020</v>
      </c>
      <c r="E199" s="30" t="s">
        <v>625</v>
      </c>
    </row>
    <row r="200" customFormat="false" ht="15" hidden="false" customHeight="false" outlineLevel="0" collapsed="false">
      <c r="A200" s="9" t="s">
        <v>467</v>
      </c>
      <c r="B200" s="9" t="s">
        <v>1018</v>
      </c>
      <c r="C200" s="8" t="s">
        <v>460</v>
      </c>
      <c r="D200" s="9" t="s">
        <v>445</v>
      </c>
      <c r="E200" s="9" t="s">
        <v>629</v>
      </c>
    </row>
    <row r="201" customFormat="false" ht="15" hidden="false" customHeight="false" outlineLevel="0" collapsed="false">
      <c r="A201" s="30" t="s">
        <v>468</v>
      </c>
      <c r="B201" s="30" t="s">
        <v>1018</v>
      </c>
      <c r="C201" s="29" t="s">
        <v>460</v>
      </c>
      <c r="D201" s="30" t="s">
        <v>1020</v>
      </c>
      <c r="E201" s="30" t="s">
        <v>625</v>
      </c>
    </row>
    <row r="202" customFormat="false" ht="15" hidden="false" customHeight="false" outlineLevel="0" collapsed="false">
      <c r="A202" s="9" t="s">
        <v>469</v>
      </c>
      <c r="B202" s="9" t="s">
        <v>1018</v>
      </c>
      <c r="C202" s="8" t="s">
        <v>470</v>
      </c>
      <c r="D202" s="9" t="s">
        <v>445</v>
      </c>
      <c r="E202" s="9" t="s">
        <v>629</v>
      </c>
    </row>
    <row r="203" customFormat="false" ht="15" hidden="false" customHeight="false" outlineLevel="0" collapsed="false">
      <c r="A203" s="30" t="s">
        <v>471</v>
      </c>
      <c r="B203" s="30" t="s">
        <v>1018</v>
      </c>
      <c r="C203" s="29" t="s">
        <v>470</v>
      </c>
      <c r="D203" s="30" t="s">
        <v>1020</v>
      </c>
      <c r="E203" s="30" t="s">
        <v>625</v>
      </c>
    </row>
    <row r="204" customFormat="false" ht="15" hidden="false" customHeight="false" outlineLevel="0" collapsed="false">
      <c r="A204" s="9" t="s">
        <v>472</v>
      </c>
      <c r="B204" s="9" t="s">
        <v>1018</v>
      </c>
      <c r="C204" s="8" t="s">
        <v>473</v>
      </c>
      <c r="D204" s="9" t="s">
        <v>445</v>
      </c>
      <c r="E204" s="9" t="s">
        <v>629</v>
      </c>
    </row>
    <row r="205" customFormat="false" ht="15" hidden="false" customHeight="false" outlineLevel="0" collapsed="false">
      <c r="A205" s="30" t="s">
        <v>474</v>
      </c>
      <c r="B205" s="30" t="s">
        <v>1018</v>
      </c>
      <c r="C205" s="29" t="s">
        <v>473</v>
      </c>
      <c r="D205" s="30" t="s">
        <v>1020</v>
      </c>
      <c r="E205" s="30" t="s">
        <v>625</v>
      </c>
    </row>
    <row r="206" customFormat="false" ht="15" hidden="false" customHeight="false" outlineLevel="0" collapsed="false">
      <c r="A206" s="30" t="s">
        <v>475</v>
      </c>
      <c r="B206" s="30" t="s">
        <v>1018</v>
      </c>
      <c r="C206" s="29" t="s">
        <v>476</v>
      </c>
      <c r="D206" s="30" t="s">
        <v>1021</v>
      </c>
      <c r="E206" s="30" t="s">
        <v>625</v>
      </c>
    </row>
    <row r="207" customFormat="false" ht="15" hidden="false" customHeight="false" outlineLevel="0" collapsed="false">
      <c r="A207" s="30" t="s">
        <v>477</v>
      </c>
      <c r="B207" s="30" t="s">
        <v>1018</v>
      </c>
      <c r="C207" s="29" t="s">
        <v>476</v>
      </c>
      <c r="D207" s="30" t="s">
        <v>1020</v>
      </c>
      <c r="E207" s="30" t="s">
        <v>625</v>
      </c>
    </row>
    <row r="208" customFormat="false" ht="15" hidden="false" customHeight="false" outlineLevel="0" collapsed="false">
      <c r="A208" s="9" t="s">
        <v>478</v>
      </c>
      <c r="B208" s="9" t="s">
        <v>1018</v>
      </c>
      <c r="C208" s="8" t="s">
        <v>479</v>
      </c>
      <c r="D208" s="9" t="s">
        <v>445</v>
      </c>
      <c r="E208" s="9" t="s">
        <v>629</v>
      </c>
    </row>
    <row r="209" customFormat="false" ht="15" hidden="false" customHeight="false" outlineLevel="0" collapsed="false">
      <c r="A209" s="30" t="s">
        <v>480</v>
      </c>
      <c r="B209" s="30" t="s">
        <v>1018</v>
      </c>
      <c r="C209" s="29" t="s">
        <v>479</v>
      </c>
      <c r="D209" s="30" t="s">
        <v>1020</v>
      </c>
      <c r="E209" s="30" t="s">
        <v>625</v>
      </c>
    </row>
    <row r="210" customFormat="false" ht="15" hidden="false" customHeight="false" outlineLevel="0" collapsed="false">
      <c r="A210" s="9" t="s">
        <v>481</v>
      </c>
      <c r="B210" s="9" t="s">
        <v>1018</v>
      </c>
      <c r="C210" s="8" t="s">
        <v>482</v>
      </c>
      <c r="D210" s="9" t="s">
        <v>445</v>
      </c>
      <c r="E210" s="9" t="s">
        <v>629</v>
      </c>
    </row>
    <row r="211" customFormat="false" ht="15" hidden="false" customHeight="false" outlineLevel="0" collapsed="false">
      <c r="A211" s="30" t="s">
        <v>483</v>
      </c>
      <c r="B211" s="30" t="s">
        <v>1018</v>
      </c>
      <c r="C211" s="29" t="s">
        <v>482</v>
      </c>
      <c r="D211" s="30" t="s">
        <v>1020</v>
      </c>
      <c r="E211" s="30" t="s">
        <v>625</v>
      </c>
    </row>
    <row r="212" customFormat="false" ht="15" hidden="false" customHeight="false" outlineLevel="0" collapsed="false">
      <c r="A212" s="9" t="s">
        <v>484</v>
      </c>
      <c r="B212" s="9" t="s">
        <v>1018</v>
      </c>
      <c r="C212" s="8" t="s">
        <v>485</v>
      </c>
      <c r="D212" s="9" t="s">
        <v>445</v>
      </c>
      <c r="E212" s="9" t="s">
        <v>629</v>
      </c>
    </row>
    <row r="213" customFormat="false" ht="15" hidden="false" customHeight="false" outlineLevel="0" collapsed="false">
      <c r="A213" s="30" t="s">
        <v>486</v>
      </c>
      <c r="B213" s="30" t="s">
        <v>1018</v>
      </c>
      <c r="C213" s="29" t="s">
        <v>485</v>
      </c>
      <c r="D213" s="30" t="s">
        <v>1020</v>
      </c>
      <c r="E213" s="30" t="s">
        <v>625</v>
      </c>
    </row>
    <row r="214" customFormat="false" ht="15" hidden="false" customHeight="false" outlineLevel="0" collapsed="false">
      <c r="A214" s="9" t="s">
        <v>487</v>
      </c>
      <c r="B214" s="9" t="s">
        <v>1018</v>
      </c>
      <c r="C214" s="8" t="s">
        <v>488</v>
      </c>
      <c r="D214" s="9"/>
      <c r="E214" s="9" t="s">
        <v>629</v>
      </c>
    </row>
    <row r="215" customFormat="false" ht="15" hidden="false" customHeight="false" outlineLevel="0" collapsed="false">
      <c r="A215" s="9" t="s">
        <v>489</v>
      </c>
      <c r="B215" s="9" t="s">
        <v>1018</v>
      </c>
      <c r="C215" s="8" t="s">
        <v>490</v>
      </c>
      <c r="D215" s="9"/>
      <c r="E215" s="9" t="s">
        <v>629</v>
      </c>
    </row>
    <row r="216" customFormat="false" ht="15" hidden="false" customHeight="false" outlineLevel="0" collapsed="false">
      <c r="A216" s="9" t="s">
        <v>491</v>
      </c>
      <c r="B216" s="9" t="s">
        <v>1018</v>
      </c>
      <c r="C216" s="8" t="s">
        <v>470</v>
      </c>
      <c r="D216" s="9"/>
      <c r="E216" s="9" t="s">
        <v>629</v>
      </c>
    </row>
    <row r="217" customFormat="false" ht="15" hidden="false" customHeight="false" outlineLevel="0" collapsed="false">
      <c r="A217" s="9" t="s">
        <v>492</v>
      </c>
      <c r="B217" s="9" t="s">
        <v>1018</v>
      </c>
      <c r="C217" s="8" t="s">
        <v>493</v>
      </c>
      <c r="D217" s="9"/>
      <c r="E217" s="9" t="s">
        <v>629</v>
      </c>
    </row>
    <row r="218" customFormat="false" ht="15" hidden="false" customHeight="false" outlineLevel="0" collapsed="false">
      <c r="A218" s="9" t="s">
        <v>494</v>
      </c>
      <c r="B218" s="9" t="s">
        <v>1018</v>
      </c>
      <c r="C218" s="8" t="s">
        <v>1022</v>
      </c>
      <c r="D218" s="9"/>
      <c r="E218" s="9" t="s">
        <v>629</v>
      </c>
    </row>
    <row r="219" customFormat="false" ht="15" hidden="false" customHeight="false" outlineLevel="0" collapsed="false">
      <c r="A219" s="9" t="s">
        <v>497</v>
      </c>
      <c r="B219" s="9" t="s">
        <v>1018</v>
      </c>
      <c r="C219" s="8" t="s">
        <v>1023</v>
      </c>
      <c r="D219" s="9"/>
      <c r="E219" s="9" t="s">
        <v>629</v>
      </c>
    </row>
    <row r="220" customFormat="false" ht="15" hidden="false" customHeight="false" outlineLevel="0" collapsed="false">
      <c r="A220" s="9" t="s">
        <v>499</v>
      </c>
      <c r="B220" s="9" t="s">
        <v>1018</v>
      </c>
      <c r="C220" s="8" t="s">
        <v>473</v>
      </c>
      <c r="D220" s="9"/>
      <c r="E220" s="9" t="s">
        <v>629</v>
      </c>
    </row>
    <row r="221" customFormat="false" ht="15" hidden="false" customHeight="false" outlineLevel="0" collapsed="false">
      <c r="A221" s="9" t="s">
        <v>500</v>
      </c>
      <c r="B221" s="9" t="s">
        <v>1018</v>
      </c>
      <c r="C221" s="8" t="s">
        <v>482</v>
      </c>
      <c r="D221" s="9"/>
      <c r="E221" s="9" t="s">
        <v>629</v>
      </c>
    </row>
    <row r="222" customFormat="false" ht="15" hidden="false" customHeight="false" outlineLevel="0" collapsed="false">
      <c r="A222" s="9" t="s">
        <v>501</v>
      </c>
      <c r="B222" s="9" t="s">
        <v>1018</v>
      </c>
      <c r="C222" s="8" t="s">
        <v>490</v>
      </c>
      <c r="D222" s="9"/>
      <c r="E222" s="9" t="s">
        <v>629</v>
      </c>
    </row>
    <row r="223" customFormat="false" ht="15" hidden="false" customHeight="false" outlineLevel="0" collapsed="false">
      <c r="A223" s="24" t="s">
        <v>502</v>
      </c>
      <c r="B223" s="24" t="s">
        <v>1018</v>
      </c>
      <c r="C223" s="23" t="s">
        <v>1024</v>
      </c>
      <c r="D223" s="24" t="s">
        <v>1025</v>
      </c>
      <c r="E223" s="24" t="s">
        <v>621</v>
      </c>
    </row>
    <row r="224" customFormat="false" ht="15" hidden="false" customHeight="false" outlineLevel="0" collapsed="false">
      <c r="A224" s="9" t="s">
        <v>505</v>
      </c>
      <c r="B224" s="9" t="s">
        <v>1018</v>
      </c>
      <c r="C224" s="8" t="s">
        <v>1026</v>
      </c>
      <c r="D224" s="9"/>
      <c r="E224" s="9" t="s">
        <v>629</v>
      </c>
    </row>
    <row r="225" customFormat="false" ht="15" hidden="false" customHeight="false" outlineLevel="0" collapsed="false">
      <c r="A225" s="9" t="s">
        <v>506</v>
      </c>
      <c r="B225" s="9" t="s">
        <v>1018</v>
      </c>
      <c r="C225" s="8" t="s">
        <v>1027</v>
      </c>
      <c r="D225" s="9"/>
      <c r="E225" s="9" t="s">
        <v>629</v>
      </c>
    </row>
    <row r="226" customFormat="false" ht="15" hidden="false" customHeight="false" outlineLevel="0" collapsed="false">
      <c r="A226" s="24" t="s">
        <v>507</v>
      </c>
      <c r="B226" s="24" t="s">
        <v>1018</v>
      </c>
      <c r="C226" s="23" t="s">
        <v>703</v>
      </c>
      <c r="D226" s="24" t="s">
        <v>508</v>
      </c>
      <c r="E226" s="24" t="s">
        <v>621</v>
      </c>
    </row>
    <row r="227" customFormat="false" ht="15" hidden="false" customHeight="false" outlineLevel="0" collapsed="false">
      <c r="A227" s="9" t="s">
        <v>510</v>
      </c>
      <c r="B227" s="9" t="s">
        <v>1018</v>
      </c>
      <c r="C227" s="8" t="s">
        <v>1028</v>
      </c>
      <c r="D227" s="9"/>
      <c r="E227" s="9" t="s">
        <v>629</v>
      </c>
    </row>
    <row r="228" customFormat="false" ht="15" hidden="false" customHeight="false" outlineLevel="0" collapsed="false">
      <c r="A228" s="24" t="s">
        <v>511</v>
      </c>
      <c r="B228" s="24" t="s">
        <v>1018</v>
      </c>
      <c r="C228" s="23" t="s">
        <v>703</v>
      </c>
      <c r="D228" s="24" t="s">
        <v>1029</v>
      </c>
      <c r="E228" s="24" t="s">
        <v>621</v>
      </c>
    </row>
    <row r="229" customFormat="false" ht="15" hidden="false" customHeight="false" outlineLevel="0" collapsed="false">
      <c r="A229" s="24" t="s">
        <v>513</v>
      </c>
      <c r="B229" s="24" t="s">
        <v>1018</v>
      </c>
      <c r="C229" s="23" t="s">
        <v>703</v>
      </c>
      <c r="D229" s="24" t="s">
        <v>1029</v>
      </c>
      <c r="E229" s="24" t="s">
        <v>621</v>
      </c>
    </row>
    <row r="230" customFormat="false" ht="15" hidden="false" customHeight="false" outlineLevel="0" collapsed="false">
      <c r="A230" s="24" t="s">
        <v>514</v>
      </c>
      <c r="B230" s="24" t="s">
        <v>1018</v>
      </c>
      <c r="C230" s="23" t="s">
        <v>703</v>
      </c>
      <c r="D230" s="24" t="s">
        <v>1030</v>
      </c>
      <c r="E230" s="24" t="s">
        <v>621</v>
      </c>
    </row>
    <row r="231" customFormat="false" ht="15" hidden="false" customHeight="false" outlineLevel="0" collapsed="false">
      <c r="A231" s="24" t="s">
        <v>516</v>
      </c>
      <c r="B231" s="24" t="s">
        <v>1018</v>
      </c>
      <c r="C231" s="23" t="s">
        <v>703</v>
      </c>
      <c r="D231" s="24" t="s">
        <v>1030</v>
      </c>
      <c r="E231" s="24" t="s">
        <v>621</v>
      </c>
    </row>
    <row r="232" customFormat="false" ht="15" hidden="false" customHeight="false" outlineLevel="0" collapsed="false">
      <c r="A232" s="9" t="s">
        <v>517</v>
      </c>
      <c r="B232" s="9" t="s">
        <v>1018</v>
      </c>
      <c r="C232" s="8" t="s">
        <v>1031</v>
      </c>
      <c r="D232" s="9" t="s">
        <v>515</v>
      </c>
      <c r="E232" s="9" t="s">
        <v>629</v>
      </c>
    </row>
    <row r="233" customFormat="false" ht="15" hidden="false" customHeight="false" outlineLevel="0" collapsed="false">
      <c r="A233" s="9" t="s">
        <v>520</v>
      </c>
      <c r="B233" s="9" t="s">
        <v>1018</v>
      </c>
      <c r="C233" s="8" t="s">
        <v>1032</v>
      </c>
      <c r="D233" s="9" t="s">
        <v>512</v>
      </c>
      <c r="E233" s="9" t="s">
        <v>629</v>
      </c>
    </row>
    <row r="234" customFormat="false" ht="15" hidden="false" customHeight="false" outlineLevel="0" collapsed="false">
      <c r="A234" s="9" t="s">
        <v>523</v>
      </c>
      <c r="B234" s="9" t="s">
        <v>1018</v>
      </c>
      <c r="C234" s="8" t="s">
        <v>1033</v>
      </c>
      <c r="D234" s="9" t="s">
        <v>512</v>
      </c>
      <c r="E234" s="9" t="s">
        <v>629</v>
      </c>
    </row>
    <row r="235" customFormat="false" ht="15" hidden="false" customHeight="false" outlineLevel="0" collapsed="false">
      <c r="A235" s="9" t="s">
        <v>527</v>
      </c>
      <c r="B235" s="9" t="s">
        <v>1018</v>
      </c>
      <c r="C235" s="8" t="s">
        <v>1034</v>
      </c>
      <c r="D235" s="9" t="s">
        <v>512</v>
      </c>
      <c r="E235" s="9" t="s">
        <v>629</v>
      </c>
    </row>
    <row r="236" customFormat="false" ht="15" hidden="false" customHeight="false" outlineLevel="0" collapsed="false">
      <c r="A236" s="9" t="s">
        <v>530</v>
      </c>
      <c r="B236" s="9" t="s">
        <v>1018</v>
      </c>
      <c r="C236" s="8" t="s">
        <v>1035</v>
      </c>
      <c r="D236" s="9" t="s">
        <v>1036</v>
      </c>
      <c r="E236" s="9" t="s">
        <v>629</v>
      </c>
    </row>
    <row r="237" customFormat="false" ht="15" hidden="false" customHeight="false" outlineLevel="0" collapsed="false">
      <c r="A237" s="24" t="s">
        <v>534</v>
      </c>
      <c r="B237" s="24" t="s">
        <v>1018</v>
      </c>
      <c r="C237" s="23" t="s">
        <v>703</v>
      </c>
      <c r="D237" s="24" t="s">
        <v>1037</v>
      </c>
      <c r="E237" s="24" t="s">
        <v>621</v>
      </c>
    </row>
    <row r="238" customFormat="false" ht="15" hidden="false" customHeight="false" outlineLevel="0" collapsed="false">
      <c r="A238" s="9" t="s">
        <v>536</v>
      </c>
      <c r="B238" s="9" t="s">
        <v>1018</v>
      </c>
      <c r="C238" s="8" t="s">
        <v>1038</v>
      </c>
      <c r="D238" s="9" t="s">
        <v>512</v>
      </c>
      <c r="E238" s="9" t="s">
        <v>629</v>
      </c>
    </row>
    <row r="239" customFormat="false" ht="15" hidden="false" customHeight="false" outlineLevel="0" collapsed="false">
      <c r="A239" s="24" t="s">
        <v>538</v>
      </c>
      <c r="B239" s="24" t="s">
        <v>1018</v>
      </c>
      <c r="C239" s="23" t="s">
        <v>703</v>
      </c>
      <c r="D239" s="24" t="s">
        <v>1039</v>
      </c>
      <c r="E239" s="24" t="s">
        <v>621</v>
      </c>
    </row>
    <row r="240" customFormat="false" ht="15" hidden="false" customHeight="false" outlineLevel="0" collapsed="false">
      <c r="A240" s="9" t="s">
        <v>541</v>
      </c>
      <c r="B240" s="9" t="s">
        <v>1018</v>
      </c>
      <c r="C240" s="8" t="s">
        <v>1040</v>
      </c>
      <c r="D240" s="9" t="s">
        <v>512</v>
      </c>
      <c r="E240" s="9" t="s">
        <v>629</v>
      </c>
    </row>
    <row r="241" customFormat="false" ht="15" hidden="false" customHeight="false" outlineLevel="0" collapsed="false">
      <c r="A241" s="9" t="s">
        <v>545</v>
      </c>
      <c r="B241" s="9" t="s">
        <v>1018</v>
      </c>
      <c r="C241" s="8" t="s">
        <v>546</v>
      </c>
      <c r="D241" s="9" t="s">
        <v>512</v>
      </c>
      <c r="E241" s="9" t="s">
        <v>629</v>
      </c>
    </row>
    <row r="242" customFormat="false" ht="15" hidden="false" customHeight="false" outlineLevel="0" collapsed="false">
      <c r="A242" s="9" t="s">
        <v>547</v>
      </c>
      <c r="B242" s="9" t="s">
        <v>1018</v>
      </c>
      <c r="C242" s="8" t="s">
        <v>1041</v>
      </c>
      <c r="D242" s="9" t="s">
        <v>512</v>
      </c>
      <c r="E242" s="9" t="s">
        <v>629</v>
      </c>
    </row>
    <row r="243" customFormat="false" ht="15" hidden="false" customHeight="false" outlineLevel="0" collapsed="false">
      <c r="A243" s="24" t="s">
        <v>549</v>
      </c>
      <c r="B243" s="24" t="s">
        <v>1018</v>
      </c>
      <c r="C243" s="23" t="s">
        <v>703</v>
      </c>
      <c r="D243" s="24" t="s">
        <v>1037</v>
      </c>
      <c r="E243" s="24" t="s">
        <v>621</v>
      </c>
    </row>
    <row r="244" customFormat="false" ht="15" hidden="false" customHeight="false" outlineLevel="0" collapsed="false">
      <c r="A244" s="30" t="s">
        <v>550</v>
      </c>
      <c r="B244" s="30" t="s">
        <v>1018</v>
      </c>
      <c r="C244" s="29" t="s">
        <v>1042</v>
      </c>
      <c r="D244" s="30" t="s">
        <v>1043</v>
      </c>
      <c r="E244" s="30" t="s">
        <v>625</v>
      </c>
    </row>
    <row r="245" customFormat="false" ht="15" hidden="false" customHeight="false" outlineLevel="0" collapsed="false">
      <c r="A245" s="9" t="s">
        <v>553</v>
      </c>
      <c r="B245" s="9" t="s">
        <v>1018</v>
      </c>
      <c r="C245" s="8" t="s">
        <v>1044</v>
      </c>
      <c r="D245" s="9" t="s">
        <v>515</v>
      </c>
      <c r="E245" s="9" t="s">
        <v>629</v>
      </c>
    </row>
    <row r="246" customFormat="false" ht="15" hidden="false" customHeight="false" outlineLevel="0" collapsed="false">
      <c r="A246" s="9" t="s">
        <v>555</v>
      </c>
      <c r="B246" s="9" t="s">
        <v>1018</v>
      </c>
      <c r="C246" s="8" t="s">
        <v>556</v>
      </c>
      <c r="D246" s="9"/>
      <c r="E246" s="9" t="s">
        <v>629</v>
      </c>
    </row>
    <row r="247" customFormat="false" ht="15" hidden="false" customHeight="false" outlineLevel="0" collapsed="false">
      <c r="A247" s="24" t="s">
        <v>557</v>
      </c>
      <c r="B247" s="24" t="s">
        <v>1018</v>
      </c>
      <c r="C247" s="23" t="s">
        <v>703</v>
      </c>
      <c r="D247" s="24" t="s">
        <v>535</v>
      </c>
      <c r="E247" s="24" t="s">
        <v>621</v>
      </c>
    </row>
    <row r="248" customFormat="false" ht="15" hidden="false" customHeight="false" outlineLevel="0" collapsed="false">
      <c r="A248" s="30" t="s">
        <v>558</v>
      </c>
      <c r="B248" s="30" t="s">
        <v>1018</v>
      </c>
      <c r="C248" s="29" t="s">
        <v>1045</v>
      </c>
      <c r="D248" s="30" t="s">
        <v>1046</v>
      </c>
      <c r="E248" s="30" t="s">
        <v>625</v>
      </c>
    </row>
    <row r="249" customFormat="false" ht="15" hidden="false" customHeight="false" outlineLevel="0" collapsed="false">
      <c r="A249" s="24" t="s">
        <v>561</v>
      </c>
      <c r="B249" s="24" t="s">
        <v>1018</v>
      </c>
      <c r="C249" s="23" t="s">
        <v>703</v>
      </c>
      <c r="D249" s="24" t="s">
        <v>535</v>
      </c>
      <c r="E249" s="24" t="s">
        <v>621</v>
      </c>
    </row>
    <row r="250" customFormat="false" ht="15" hidden="false" customHeight="false" outlineLevel="0" collapsed="false">
      <c r="A250" s="9" t="s">
        <v>562</v>
      </c>
      <c r="B250" s="9" t="s">
        <v>1018</v>
      </c>
      <c r="C250" s="8" t="s">
        <v>563</v>
      </c>
      <c r="D250" s="9"/>
      <c r="E250" s="9" t="s">
        <v>629</v>
      </c>
    </row>
    <row r="251" customFormat="false" ht="15" hidden="false" customHeight="false" outlineLevel="0" collapsed="false">
      <c r="A251" s="30" t="s">
        <v>564</v>
      </c>
      <c r="B251" s="30" t="s">
        <v>1018</v>
      </c>
      <c r="C251" s="29" t="s">
        <v>1045</v>
      </c>
      <c r="D251" s="30" t="s">
        <v>1046</v>
      </c>
      <c r="E251" s="30" t="s">
        <v>625</v>
      </c>
    </row>
    <row r="252" customFormat="false" ht="15" hidden="false" customHeight="false" outlineLevel="0" collapsed="false">
      <c r="A252" s="24" t="s">
        <v>565</v>
      </c>
      <c r="B252" s="24" t="s">
        <v>1018</v>
      </c>
      <c r="C252" s="23" t="s">
        <v>703</v>
      </c>
      <c r="D252" s="24" t="s">
        <v>568</v>
      </c>
      <c r="E252" s="24" t="s">
        <v>621</v>
      </c>
    </row>
    <row r="253" customFormat="false" ht="15" hidden="false" customHeight="false" outlineLevel="0" collapsed="false">
      <c r="A253" s="24" t="s">
        <v>567</v>
      </c>
      <c r="B253" s="24" t="s">
        <v>1018</v>
      </c>
      <c r="C253" s="23" t="s">
        <v>703</v>
      </c>
      <c r="D253" s="24" t="s">
        <v>568</v>
      </c>
      <c r="E253" s="24" t="s">
        <v>621</v>
      </c>
    </row>
    <row r="254" customFormat="false" ht="15" hidden="false" customHeight="false" outlineLevel="0" collapsed="false">
      <c r="A254" s="24" t="s">
        <v>569</v>
      </c>
      <c r="B254" s="24" t="s">
        <v>1018</v>
      </c>
      <c r="C254" s="23" t="s">
        <v>703</v>
      </c>
      <c r="D254" s="24" t="s">
        <v>568</v>
      </c>
      <c r="E254" s="24" t="s">
        <v>621</v>
      </c>
    </row>
    <row r="255" customFormat="false" ht="15" hidden="false" customHeight="false" outlineLevel="0" collapsed="false">
      <c r="A255" s="24" t="s">
        <v>570</v>
      </c>
      <c r="B255" s="24" t="s">
        <v>1018</v>
      </c>
      <c r="C255" s="23" t="s">
        <v>703</v>
      </c>
      <c r="D255" s="24" t="s">
        <v>1047</v>
      </c>
      <c r="E255" s="24" t="s">
        <v>621</v>
      </c>
    </row>
    <row r="256" customFormat="false" ht="15" hidden="false" customHeight="false" outlineLevel="0" collapsed="false">
      <c r="A256" s="24" t="s">
        <v>571</v>
      </c>
      <c r="B256" s="24" t="s">
        <v>1018</v>
      </c>
      <c r="C256" s="23" t="s">
        <v>703</v>
      </c>
      <c r="D256" s="24" t="s">
        <v>1047</v>
      </c>
      <c r="E256" s="24" t="s">
        <v>621</v>
      </c>
    </row>
    <row r="257" customFormat="false" ht="15" hidden="false" customHeight="false" outlineLevel="0" collapsed="false">
      <c r="A257" s="24" t="s">
        <v>572</v>
      </c>
      <c r="B257" s="24" t="s">
        <v>1018</v>
      </c>
      <c r="C257" s="23" t="s">
        <v>703</v>
      </c>
      <c r="D257" s="24" t="s">
        <v>568</v>
      </c>
      <c r="E257" s="24" t="s">
        <v>621</v>
      </c>
    </row>
    <row r="258" customFormat="false" ht="15" hidden="false" customHeight="false" outlineLevel="0" collapsed="false">
      <c r="A258" s="24" t="s">
        <v>573</v>
      </c>
      <c r="B258" s="24" t="s">
        <v>1018</v>
      </c>
      <c r="C258" s="23" t="s">
        <v>703</v>
      </c>
      <c r="D258" s="24" t="s">
        <v>568</v>
      </c>
      <c r="E258" s="24" t="s">
        <v>621</v>
      </c>
    </row>
    <row r="259" customFormat="false" ht="15" hidden="false" customHeight="false" outlineLevel="0" collapsed="false">
      <c r="A259" s="24" t="s">
        <v>574</v>
      </c>
      <c r="B259" s="24" t="s">
        <v>1018</v>
      </c>
      <c r="C259" s="23" t="s">
        <v>703</v>
      </c>
      <c r="D259" s="24" t="s">
        <v>568</v>
      </c>
      <c r="E259" s="24" t="s">
        <v>621</v>
      </c>
    </row>
    <row r="260" customFormat="false" ht="15" hidden="false" customHeight="false" outlineLevel="0" collapsed="false">
      <c r="A260" s="9" t="s">
        <v>575</v>
      </c>
      <c r="B260" s="9" t="s">
        <v>1018</v>
      </c>
      <c r="C260" s="8" t="s">
        <v>576</v>
      </c>
      <c r="D260" s="9"/>
      <c r="E260" s="9" t="s">
        <v>629</v>
      </c>
    </row>
    <row r="261" customFormat="false" ht="15" hidden="false" customHeight="false" outlineLevel="0" collapsed="false">
      <c r="A261" s="9" t="s">
        <v>577</v>
      </c>
      <c r="B261" s="9" t="s">
        <v>1018</v>
      </c>
      <c r="C261" s="8" t="s">
        <v>578</v>
      </c>
      <c r="D261" s="9" t="s">
        <v>515</v>
      </c>
      <c r="E261" s="9" t="s">
        <v>629</v>
      </c>
    </row>
    <row r="262" customFormat="false" ht="15" hidden="false" customHeight="false" outlineLevel="0" collapsed="false">
      <c r="A262" s="24" t="s">
        <v>579</v>
      </c>
      <c r="B262" s="24" t="s">
        <v>1018</v>
      </c>
      <c r="C262" s="23" t="s">
        <v>703</v>
      </c>
      <c r="D262" s="24" t="s">
        <v>508</v>
      </c>
      <c r="E262" s="24" t="s">
        <v>621</v>
      </c>
    </row>
    <row r="263" customFormat="false" ht="15" hidden="false" customHeight="false" outlineLevel="0" collapsed="false">
      <c r="A263" s="24" t="s">
        <v>580</v>
      </c>
      <c r="B263" s="24" t="s">
        <v>1018</v>
      </c>
      <c r="C263" s="23" t="s">
        <v>703</v>
      </c>
      <c r="D263" s="24" t="s">
        <v>508</v>
      </c>
      <c r="E263" s="24" t="s">
        <v>621</v>
      </c>
    </row>
    <row r="264" customFormat="false" ht="15" hidden="false" customHeight="false" outlineLevel="0" collapsed="false">
      <c r="A264" s="24" t="s">
        <v>581</v>
      </c>
      <c r="B264" s="24" t="s">
        <v>1018</v>
      </c>
      <c r="C264" s="23" t="s">
        <v>703</v>
      </c>
      <c r="D264" s="24" t="s">
        <v>508</v>
      </c>
      <c r="E264" s="24" t="s">
        <v>621</v>
      </c>
    </row>
    <row r="265" customFormat="false" ht="15" hidden="false" customHeight="false" outlineLevel="0" collapsed="false">
      <c r="A265" s="24" t="s">
        <v>582</v>
      </c>
      <c r="B265" s="24" t="s">
        <v>1018</v>
      </c>
      <c r="C265" s="23" t="s">
        <v>703</v>
      </c>
      <c r="D265" s="24" t="s">
        <v>508</v>
      </c>
      <c r="E265" s="24" t="s">
        <v>621</v>
      </c>
    </row>
    <row r="266" customFormat="false" ht="15" hidden="false" customHeight="false" outlineLevel="0" collapsed="false">
      <c r="A266" s="24" t="s">
        <v>583</v>
      </c>
      <c r="B266" s="24" t="s">
        <v>1018</v>
      </c>
      <c r="C266" s="23" t="s">
        <v>703</v>
      </c>
      <c r="D266" s="24" t="s">
        <v>508</v>
      </c>
      <c r="E266" s="24" t="s">
        <v>621</v>
      </c>
    </row>
    <row r="267" customFormat="false" ht="15" hidden="false" customHeight="false" outlineLevel="0" collapsed="false">
      <c r="A267" s="24" t="s">
        <v>584</v>
      </c>
      <c r="B267" s="24" t="s">
        <v>1018</v>
      </c>
      <c r="C267" s="23" t="s">
        <v>703</v>
      </c>
      <c r="D267" s="24" t="s">
        <v>508</v>
      </c>
      <c r="E267" s="24" t="s">
        <v>621</v>
      </c>
    </row>
  </sheetData>
  <autoFilter ref="A3:E267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4" t="s">
        <v>1048</v>
      </c>
      <c r="B1" s="4"/>
      <c r="C1" s="4"/>
      <c r="D1" s="4"/>
      <c r="E1" s="4"/>
    </row>
    <row r="2" customFormat="false" ht="30" hidden="false" customHeight="true" outlineLevel="0" collapsed="false">
      <c r="A2" s="5" t="s">
        <v>1049</v>
      </c>
      <c r="B2" s="5"/>
      <c r="C2" s="5"/>
      <c r="D2" s="5"/>
      <c r="E2" s="5"/>
    </row>
    <row r="3" customFormat="false" ht="42" hidden="false" customHeight="true" outlineLevel="0" collapsed="false">
      <c r="A3" s="6" t="s">
        <v>1050</v>
      </c>
      <c r="B3" s="6" t="s">
        <v>1051</v>
      </c>
      <c r="C3" s="6" t="s">
        <v>1052</v>
      </c>
      <c r="D3" s="6" t="s">
        <v>188</v>
      </c>
      <c r="E3" s="6" t="s">
        <v>45</v>
      </c>
    </row>
    <row r="4" customFormat="false" ht="15" hidden="false" customHeight="false" outlineLevel="0" collapsed="false">
      <c r="A4" s="8" t="s">
        <v>1053</v>
      </c>
      <c r="B4" s="9" t="s">
        <v>1054</v>
      </c>
      <c r="C4" s="9" t="s">
        <v>1055</v>
      </c>
      <c r="D4" s="9" t="s">
        <v>1056</v>
      </c>
      <c r="E4" s="9"/>
    </row>
    <row r="5" customFormat="false" ht="15" hidden="false" customHeight="false" outlineLevel="0" collapsed="false">
      <c r="A5" s="8" t="s">
        <v>1057</v>
      </c>
      <c r="B5" s="9" t="s">
        <v>1058</v>
      </c>
      <c r="C5" s="9" t="s">
        <v>1055</v>
      </c>
      <c r="D5" s="9" t="s">
        <v>1056</v>
      </c>
      <c r="E5" s="9"/>
    </row>
    <row r="6" customFormat="false" ht="15" hidden="false" customHeight="false" outlineLevel="0" collapsed="false">
      <c r="A6" s="8" t="s">
        <v>1059</v>
      </c>
      <c r="B6" s="9" t="s">
        <v>1060</v>
      </c>
      <c r="C6" s="9" t="s">
        <v>1055</v>
      </c>
      <c r="D6" s="9" t="s">
        <v>1056</v>
      </c>
      <c r="E6" s="9"/>
    </row>
    <row r="7" customFormat="false" ht="15" hidden="false" customHeight="false" outlineLevel="0" collapsed="false">
      <c r="A7" s="8" t="s">
        <v>1061</v>
      </c>
      <c r="B7" s="9" t="s">
        <v>1062</v>
      </c>
      <c r="C7" s="9" t="s">
        <v>1055</v>
      </c>
      <c r="D7" s="9" t="s">
        <v>1056</v>
      </c>
      <c r="E7" s="9"/>
    </row>
    <row r="8" customFormat="false" ht="15" hidden="false" customHeight="false" outlineLevel="0" collapsed="false">
      <c r="A8" s="8" t="s">
        <v>1063</v>
      </c>
      <c r="B8" s="9" t="s">
        <v>1064</v>
      </c>
      <c r="C8" s="9" t="s">
        <v>1065</v>
      </c>
      <c r="D8" s="9" t="s">
        <v>1066</v>
      </c>
      <c r="E8" s="9"/>
    </row>
    <row r="9" customFormat="false" ht="15" hidden="false" customHeight="false" outlineLevel="0" collapsed="false">
      <c r="A9" s="8" t="s">
        <v>1067</v>
      </c>
      <c r="B9" s="9" t="s">
        <v>1068</v>
      </c>
      <c r="C9" s="9" t="s">
        <v>1065</v>
      </c>
      <c r="D9" s="9" t="s">
        <v>1066</v>
      </c>
      <c r="E9" s="9"/>
    </row>
    <row r="10" customFormat="false" ht="15" hidden="false" customHeight="false" outlineLevel="0" collapsed="false">
      <c r="A10" s="8" t="s">
        <v>1069</v>
      </c>
      <c r="B10" s="9" t="s">
        <v>1070</v>
      </c>
      <c r="C10" s="9" t="s">
        <v>1065</v>
      </c>
      <c r="D10" s="9" t="s">
        <v>1066</v>
      </c>
      <c r="E10" s="9"/>
    </row>
    <row r="11" customFormat="false" ht="15" hidden="false" customHeight="false" outlineLevel="0" collapsed="false">
      <c r="A11" s="8" t="s">
        <v>1071</v>
      </c>
      <c r="B11" s="9" t="s">
        <v>1072</v>
      </c>
      <c r="C11" s="9" t="s">
        <v>1065</v>
      </c>
      <c r="D11" s="9" t="s">
        <v>1066</v>
      </c>
      <c r="E11" s="9"/>
    </row>
    <row r="12" customFormat="false" ht="15" hidden="false" customHeight="false" outlineLevel="0" collapsed="false">
      <c r="A12" s="8" t="s">
        <v>1073</v>
      </c>
      <c r="B12" s="9" t="s">
        <v>1074</v>
      </c>
      <c r="C12" s="9" t="s">
        <v>1065</v>
      </c>
      <c r="D12" s="9" t="s">
        <v>1075</v>
      </c>
      <c r="E12" s="9"/>
    </row>
    <row r="13" customFormat="false" ht="15" hidden="false" customHeight="false" outlineLevel="0" collapsed="false">
      <c r="A13" s="8" t="s">
        <v>1076</v>
      </c>
      <c r="B13" s="9" t="s">
        <v>1077</v>
      </c>
      <c r="C13" s="9" t="s">
        <v>1065</v>
      </c>
      <c r="D13" s="9" t="s">
        <v>1075</v>
      </c>
      <c r="E13" s="9"/>
    </row>
    <row r="14" customFormat="false" ht="15" hidden="false" customHeight="false" outlineLevel="0" collapsed="false">
      <c r="A14" s="29" t="s">
        <v>1078</v>
      </c>
      <c r="B14" s="30" t="s">
        <v>1079</v>
      </c>
      <c r="C14" s="30" t="s">
        <v>1065</v>
      </c>
      <c r="D14" s="30" t="s">
        <v>1075</v>
      </c>
      <c r="E14" s="30" t="s">
        <v>1080</v>
      </c>
    </row>
    <row r="15" customFormat="false" ht="15" hidden="false" customHeight="false" outlineLevel="0" collapsed="false">
      <c r="A15" s="8" t="s">
        <v>1081</v>
      </c>
      <c r="B15" s="9" t="s">
        <v>1082</v>
      </c>
      <c r="C15" s="9" t="s">
        <v>1065</v>
      </c>
      <c r="D15" s="9" t="s">
        <v>1075</v>
      </c>
      <c r="E15" s="9"/>
    </row>
    <row r="16" customFormat="false" ht="15" hidden="false" customHeight="false" outlineLevel="0" collapsed="false">
      <c r="A16" s="8" t="s">
        <v>1083</v>
      </c>
      <c r="B16" s="9" t="s">
        <v>1084</v>
      </c>
      <c r="C16" s="9" t="s">
        <v>1085</v>
      </c>
      <c r="D16" s="9" t="s">
        <v>1086</v>
      </c>
      <c r="E16" s="9"/>
    </row>
    <row r="17" customFormat="false" ht="15" hidden="false" customHeight="false" outlineLevel="0" collapsed="false">
      <c r="A17" s="8" t="s">
        <v>1087</v>
      </c>
      <c r="B17" s="9" t="s">
        <v>1088</v>
      </c>
      <c r="C17" s="9" t="s">
        <v>1085</v>
      </c>
      <c r="D17" s="9" t="s">
        <v>1086</v>
      </c>
      <c r="E17" s="9"/>
    </row>
    <row r="18" customFormat="false" ht="15" hidden="false" customHeight="false" outlineLevel="0" collapsed="false">
      <c r="A18" s="8" t="s">
        <v>1089</v>
      </c>
      <c r="B18" s="9" t="s">
        <v>1090</v>
      </c>
      <c r="C18" s="9" t="s">
        <v>1085</v>
      </c>
      <c r="D18" s="9" t="s">
        <v>1086</v>
      </c>
      <c r="E18" s="9"/>
    </row>
    <row r="19" customFormat="false" ht="15" hidden="false" customHeight="false" outlineLevel="0" collapsed="false">
      <c r="A19" s="8" t="s">
        <v>1091</v>
      </c>
      <c r="B19" s="9" t="s">
        <v>1092</v>
      </c>
      <c r="C19" s="9" t="s">
        <v>1085</v>
      </c>
      <c r="D19" s="9" t="s">
        <v>1086</v>
      </c>
      <c r="E19" s="9"/>
    </row>
    <row r="20" customFormat="false" ht="15" hidden="false" customHeight="false" outlineLevel="0" collapsed="false">
      <c r="A20" s="8" t="s">
        <v>1093</v>
      </c>
      <c r="B20" s="9" t="s">
        <v>1094</v>
      </c>
      <c r="C20" s="9" t="s">
        <v>1085</v>
      </c>
      <c r="D20" s="9" t="s">
        <v>1086</v>
      </c>
      <c r="E20" s="9"/>
    </row>
    <row r="21" customFormat="false" ht="15" hidden="false" customHeight="false" outlineLevel="0" collapsed="false">
      <c r="A21" s="8" t="s">
        <v>1095</v>
      </c>
      <c r="B21" s="9" t="s">
        <v>1096</v>
      </c>
      <c r="C21" s="9" t="s">
        <v>1085</v>
      </c>
      <c r="D21" s="9" t="s">
        <v>1086</v>
      </c>
      <c r="E21" s="9"/>
    </row>
    <row r="22" customFormat="false" ht="15" hidden="false" customHeight="false" outlineLevel="0" collapsed="false">
      <c r="A22" s="8" t="s">
        <v>1097</v>
      </c>
      <c r="B22" s="9" t="s">
        <v>1098</v>
      </c>
      <c r="C22" s="9" t="s">
        <v>1085</v>
      </c>
      <c r="D22" s="9" t="s">
        <v>1086</v>
      </c>
      <c r="E22" s="9"/>
    </row>
    <row r="23" customFormat="false" ht="15" hidden="false" customHeight="false" outlineLevel="0" collapsed="false">
      <c r="A23" s="8" t="s">
        <v>1099</v>
      </c>
      <c r="B23" s="9" t="s">
        <v>1100</v>
      </c>
      <c r="C23" s="9" t="s">
        <v>1085</v>
      </c>
      <c r="D23" s="9" t="s">
        <v>1086</v>
      </c>
      <c r="E23" s="9"/>
    </row>
    <row r="24" customFormat="false" ht="15" hidden="false" customHeight="false" outlineLevel="0" collapsed="false">
      <c r="A24" s="8" t="s">
        <v>1101</v>
      </c>
      <c r="B24" s="9" t="s">
        <v>1102</v>
      </c>
      <c r="C24" s="9" t="s">
        <v>1103</v>
      </c>
      <c r="D24" s="9" t="s">
        <v>1104</v>
      </c>
      <c r="E24" s="9"/>
    </row>
    <row r="25" customFormat="false" ht="15" hidden="false" customHeight="false" outlineLevel="0" collapsed="false">
      <c r="A25" s="8" t="s">
        <v>1105</v>
      </c>
      <c r="B25" s="9" t="s">
        <v>1106</v>
      </c>
      <c r="C25" s="9" t="s">
        <v>1103</v>
      </c>
      <c r="D25" s="9" t="s">
        <v>1104</v>
      </c>
      <c r="E25" s="9"/>
    </row>
    <row r="26" customFormat="false" ht="15" hidden="false" customHeight="false" outlineLevel="0" collapsed="false">
      <c r="A26" s="8" t="s">
        <v>1107</v>
      </c>
      <c r="B26" s="9" t="s">
        <v>1108</v>
      </c>
      <c r="C26" s="9" t="s">
        <v>1103</v>
      </c>
      <c r="D26" s="9" t="s">
        <v>1104</v>
      </c>
      <c r="E26" s="9"/>
    </row>
    <row r="27" customFormat="false" ht="15" hidden="false" customHeight="false" outlineLevel="0" collapsed="false">
      <c r="A27" s="8" t="s">
        <v>1109</v>
      </c>
      <c r="B27" s="9" t="s">
        <v>1110</v>
      </c>
      <c r="C27" s="9" t="s">
        <v>1111</v>
      </c>
      <c r="D27" s="9" t="s">
        <v>1112</v>
      </c>
      <c r="E27" s="9"/>
    </row>
    <row r="28" customFormat="false" ht="15" hidden="false" customHeight="false" outlineLevel="0" collapsed="false">
      <c r="A28" s="8" t="s">
        <v>1113</v>
      </c>
      <c r="B28" s="9" t="s">
        <v>1114</v>
      </c>
      <c r="C28" s="9" t="s">
        <v>1111</v>
      </c>
      <c r="D28" s="9" t="s">
        <v>1112</v>
      </c>
      <c r="E28" s="9"/>
    </row>
    <row r="29" customFormat="false" ht="15" hidden="false" customHeight="false" outlineLevel="0" collapsed="false">
      <c r="A29" s="8" t="s">
        <v>1115</v>
      </c>
      <c r="B29" s="9" t="s">
        <v>1116</v>
      </c>
      <c r="C29" s="9" t="s">
        <v>1111</v>
      </c>
      <c r="D29" s="9" t="s">
        <v>1112</v>
      </c>
      <c r="E29" s="9"/>
    </row>
    <row r="30" customFormat="false" ht="15" hidden="false" customHeight="false" outlineLevel="0" collapsed="false">
      <c r="A30" s="8" t="s">
        <v>1117</v>
      </c>
      <c r="B30" s="9" t="s">
        <v>1118</v>
      </c>
      <c r="C30" s="9" t="s">
        <v>1119</v>
      </c>
      <c r="D30" s="9" t="s">
        <v>1120</v>
      </c>
      <c r="E30" s="9"/>
    </row>
    <row r="31" customFormat="false" ht="15" hidden="false" customHeight="false" outlineLevel="0" collapsed="false">
      <c r="A31" s="8" t="s">
        <v>1121</v>
      </c>
      <c r="B31" s="9" t="s">
        <v>1122</v>
      </c>
      <c r="C31" s="9" t="s">
        <v>1119</v>
      </c>
      <c r="D31" s="9" t="s">
        <v>1120</v>
      </c>
      <c r="E31" s="9"/>
    </row>
    <row r="32" customFormat="false" ht="15" hidden="false" customHeight="false" outlineLevel="0" collapsed="false">
      <c r="A32" s="8" t="s">
        <v>1123</v>
      </c>
      <c r="B32" s="9" t="s">
        <v>1124</v>
      </c>
      <c r="C32" s="9" t="s">
        <v>1085</v>
      </c>
      <c r="D32" s="9" t="s">
        <v>1125</v>
      </c>
      <c r="E32" s="9"/>
    </row>
    <row r="33" customFormat="false" ht="15" hidden="false" customHeight="false" outlineLevel="0" collapsed="false">
      <c r="A33" s="8" t="s">
        <v>1126</v>
      </c>
      <c r="B33" s="9" t="s">
        <v>1127</v>
      </c>
      <c r="C33" s="9" t="s">
        <v>1085</v>
      </c>
      <c r="D33" s="9" t="s">
        <v>1125</v>
      </c>
      <c r="E33" s="9"/>
    </row>
    <row r="34" customFormat="false" ht="15" hidden="false" customHeight="false" outlineLevel="0" collapsed="false">
      <c r="A34" s="8" t="s">
        <v>1128</v>
      </c>
      <c r="B34" s="9" t="s">
        <v>1129</v>
      </c>
      <c r="C34" s="9" t="s">
        <v>1085</v>
      </c>
      <c r="D34" s="9" t="s">
        <v>1125</v>
      </c>
      <c r="E34" s="9"/>
    </row>
    <row r="35" customFormat="false" ht="15" hidden="false" customHeight="false" outlineLevel="0" collapsed="false">
      <c r="A35" s="8" t="s">
        <v>1130</v>
      </c>
      <c r="B35" s="9" t="s">
        <v>1131</v>
      </c>
      <c r="C35" s="9" t="s">
        <v>1085</v>
      </c>
      <c r="D35" s="9" t="s">
        <v>1125</v>
      </c>
      <c r="E35" s="9"/>
    </row>
    <row r="36" customFormat="false" ht="15" hidden="false" customHeight="false" outlineLevel="0" collapsed="false">
      <c r="A36" s="8" t="s">
        <v>1132</v>
      </c>
      <c r="B36" s="9" t="s">
        <v>1133</v>
      </c>
      <c r="C36" s="9" t="s">
        <v>1134</v>
      </c>
      <c r="D36" s="9" t="s">
        <v>1135</v>
      </c>
      <c r="E36" s="9"/>
    </row>
    <row r="37" customFormat="false" ht="15" hidden="false" customHeight="false" outlineLevel="0" collapsed="false">
      <c r="A37" s="8" t="s">
        <v>1136</v>
      </c>
      <c r="B37" s="9" t="s">
        <v>1133</v>
      </c>
      <c r="C37" s="9" t="s">
        <v>1134</v>
      </c>
      <c r="D37" s="9" t="s">
        <v>1135</v>
      </c>
      <c r="E37" s="9"/>
    </row>
    <row r="38" customFormat="false" ht="15" hidden="false" customHeight="false" outlineLevel="0" collapsed="false">
      <c r="A38" s="8" t="s">
        <v>1137</v>
      </c>
      <c r="B38" s="9" t="s">
        <v>1133</v>
      </c>
      <c r="C38" s="9" t="s">
        <v>1134</v>
      </c>
      <c r="D38" s="9" t="s">
        <v>1135</v>
      </c>
      <c r="E38" s="9"/>
    </row>
    <row r="39" customFormat="false" ht="15" hidden="false" customHeight="false" outlineLevel="0" collapsed="false">
      <c r="A39" s="29" t="s">
        <v>1138</v>
      </c>
      <c r="B39" s="30" t="s">
        <v>1139</v>
      </c>
      <c r="C39" s="30" t="s">
        <v>1140</v>
      </c>
      <c r="D39" s="30" t="s">
        <v>1135</v>
      </c>
      <c r="E39" s="30" t="s">
        <v>1141</v>
      </c>
    </row>
    <row r="40" customFormat="false" ht="15" hidden="false" customHeight="false" outlineLevel="0" collapsed="false">
      <c r="A40" s="8" t="s">
        <v>1142</v>
      </c>
      <c r="B40" s="9" t="s">
        <v>1139</v>
      </c>
      <c r="C40" s="9" t="s">
        <v>1140</v>
      </c>
      <c r="D40" s="9" t="s">
        <v>1143</v>
      </c>
      <c r="E40" s="9"/>
    </row>
    <row r="41" customFormat="false" ht="15" hidden="false" customHeight="false" outlineLevel="0" collapsed="false">
      <c r="A41" s="8" t="s">
        <v>1144</v>
      </c>
      <c r="B41" s="9" t="s">
        <v>1139</v>
      </c>
      <c r="C41" s="9" t="s">
        <v>1140</v>
      </c>
      <c r="D41" s="9" t="s">
        <v>1143</v>
      </c>
      <c r="E41" s="9"/>
    </row>
    <row r="42" customFormat="false" ht="15" hidden="false" customHeight="false" outlineLevel="0" collapsed="false">
      <c r="A42" s="8" t="s">
        <v>1145</v>
      </c>
      <c r="B42" s="9" t="s">
        <v>1139</v>
      </c>
      <c r="C42" s="9" t="s">
        <v>1140</v>
      </c>
      <c r="D42" s="9" t="s">
        <v>1143</v>
      </c>
      <c r="E42" s="9"/>
    </row>
    <row r="43" customFormat="false" ht="15" hidden="false" customHeight="false" outlineLevel="0" collapsed="false">
      <c r="A43" s="29" t="s">
        <v>1138</v>
      </c>
      <c r="B43" s="30" t="s">
        <v>1146</v>
      </c>
      <c r="C43" s="30" t="s">
        <v>1147</v>
      </c>
      <c r="D43" s="30" t="s">
        <v>1143</v>
      </c>
      <c r="E43" s="30" t="s">
        <v>1141</v>
      </c>
    </row>
    <row r="44" customFormat="false" ht="15" hidden="false" customHeight="false" outlineLevel="0" collapsed="false">
      <c r="A44" s="8" t="s">
        <v>1148</v>
      </c>
      <c r="B44" s="9" t="s">
        <v>1146</v>
      </c>
      <c r="C44" s="9" t="s">
        <v>1147</v>
      </c>
      <c r="D44" s="9" t="s">
        <v>1149</v>
      </c>
      <c r="E44" s="9"/>
    </row>
    <row r="45" customFormat="false" ht="15" hidden="false" customHeight="false" outlineLevel="0" collapsed="false">
      <c r="A45" s="8" t="s">
        <v>1150</v>
      </c>
      <c r="B45" s="9" t="s">
        <v>1151</v>
      </c>
      <c r="C45" s="9" t="s">
        <v>1152</v>
      </c>
      <c r="D45" s="9" t="s">
        <v>1149</v>
      </c>
      <c r="E45" s="9"/>
    </row>
    <row r="46" customFormat="false" ht="15" hidden="false" customHeight="false" outlineLevel="0" collapsed="false">
      <c r="A46" s="8" t="s">
        <v>1153</v>
      </c>
      <c r="B46" s="9" t="s">
        <v>1146</v>
      </c>
      <c r="C46" s="9" t="s">
        <v>1147</v>
      </c>
      <c r="D46" s="9" t="s">
        <v>1149</v>
      </c>
      <c r="E46" s="9"/>
    </row>
    <row r="47" customFormat="false" ht="15" hidden="false" customHeight="false" outlineLevel="0" collapsed="false">
      <c r="A47" s="8" t="s">
        <v>1154</v>
      </c>
      <c r="B47" s="9" t="s">
        <v>1155</v>
      </c>
      <c r="C47" s="9" t="s">
        <v>1156</v>
      </c>
      <c r="D47" s="9" t="s">
        <v>1149</v>
      </c>
      <c r="E47" s="9"/>
    </row>
    <row r="48" customFormat="false" ht="15" hidden="false" customHeight="false" outlineLevel="0" collapsed="false">
      <c r="A48" s="8" t="s">
        <v>1157</v>
      </c>
      <c r="B48" s="9" t="s">
        <v>1158</v>
      </c>
      <c r="C48" s="9" t="s">
        <v>1159</v>
      </c>
      <c r="D48" s="9" t="s">
        <v>1160</v>
      </c>
      <c r="E48" s="9"/>
    </row>
    <row r="49" customFormat="false" ht="15" hidden="false" customHeight="false" outlineLevel="0" collapsed="false">
      <c r="A49" s="8" t="s">
        <v>1161</v>
      </c>
      <c r="B49" s="9" t="s">
        <v>1162</v>
      </c>
      <c r="C49" s="9" t="s">
        <v>1163</v>
      </c>
      <c r="D49" s="9" t="s">
        <v>1160</v>
      </c>
      <c r="E49" s="9"/>
    </row>
    <row r="50" customFormat="false" ht="15" hidden="false" customHeight="false" outlineLevel="0" collapsed="false">
      <c r="A50" s="29" t="s">
        <v>1164</v>
      </c>
      <c r="B50" s="30" t="s">
        <v>1165</v>
      </c>
      <c r="C50" s="30" t="s">
        <v>1085</v>
      </c>
      <c r="D50" s="30" t="s">
        <v>1160</v>
      </c>
      <c r="E50" s="30" t="s">
        <v>1166</v>
      </c>
    </row>
    <row r="51" customFormat="false" ht="15" hidden="false" customHeight="false" outlineLevel="0" collapsed="false">
      <c r="A51" s="8" t="s">
        <v>1167</v>
      </c>
      <c r="B51" s="9" t="s">
        <v>1165</v>
      </c>
      <c r="C51" s="9" t="s">
        <v>1085</v>
      </c>
      <c r="D51" s="9" t="s">
        <v>1160</v>
      </c>
      <c r="E51" s="9"/>
    </row>
    <row r="52" customFormat="false" ht="15" hidden="false" customHeight="false" outlineLevel="0" collapsed="false">
      <c r="A52" s="8" t="s">
        <v>1168</v>
      </c>
      <c r="B52" s="9" t="s">
        <v>1169</v>
      </c>
      <c r="C52" s="9" t="s">
        <v>1085</v>
      </c>
      <c r="D52" s="9" t="s">
        <v>1170</v>
      </c>
      <c r="E52" s="9"/>
    </row>
    <row r="53" customFormat="false" ht="15" hidden="false" customHeight="false" outlineLevel="0" collapsed="false">
      <c r="A53" s="8" t="s">
        <v>1171</v>
      </c>
      <c r="B53" s="9" t="s">
        <v>1172</v>
      </c>
      <c r="C53" s="9" t="s">
        <v>1156</v>
      </c>
      <c r="D53" s="9" t="s">
        <v>1170</v>
      </c>
      <c r="E53" s="9"/>
    </row>
    <row r="54" customFormat="false" ht="15" hidden="false" customHeight="false" outlineLevel="0" collapsed="false">
      <c r="A54" s="8" t="s">
        <v>1173</v>
      </c>
      <c r="B54" s="9" t="s">
        <v>1174</v>
      </c>
      <c r="C54" s="9" t="s">
        <v>1175</v>
      </c>
      <c r="D54" s="9" t="s">
        <v>1170</v>
      </c>
      <c r="E54" s="9"/>
    </row>
    <row r="55" customFormat="false" ht="15" hidden="false" customHeight="false" outlineLevel="0" collapsed="false">
      <c r="A55" s="8" t="s">
        <v>1176</v>
      </c>
      <c r="B55" s="9" t="s">
        <v>1177</v>
      </c>
      <c r="C55" s="9" t="s">
        <v>1163</v>
      </c>
      <c r="D55" s="9" t="s">
        <v>1170</v>
      </c>
      <c r="E55" s="9"/>
    </row>
    <row r="56" customFormat="false" ht="15" hidden="false" customHeight="false" outlineLevel="0" collapsed="false">
      <c r="A56" s="8" t="s">
        <v>1178</v>
      </c>
      <c r="B56" s="9" t="s">
        <v>1172</v>
      </c>
      <c r="C56" s="9" t="s">
        <v>1156</v>
      </c>
      <c r="D56" s="9" t="s">
        <v>1179</v>
      </c>
      <c r="E56" s="9"/>
    </row>
    <row r="57" customFormat="false" ht="15" hidden="false" customHeight="false" outlineLevel="0" collapsed="false">
      <c r="A57" s="8" t="s">
        <v>1180</v>
      </c>
      <c r="B57" s="9" t="s">
        <v>1181</v>
      </c>
      <c r="C57" s="9" t="s">
        <v>1140</v>
      </c>
      <c r="D57" s="9" t="s">
        <v>1179</v>
      </c>
      <c r="E57" s="9"/>
    </row>
    <row r="58" customFormat="false" ht="15" hidden="false" customHeight="false" outlineLevel="0" collapsed="false">
      <c r="A58" s="8" t="s">
        <v>1182</v>
      </c>
      <c r="B58" s="9" t="s">
        <v>1183</v>
      </c>
      <c r="C58" s="9" t="s">
        <v>1159</v>
      </c>
      <c r="D58" s="9" t="s">
        <v>1179</v>
      </c>
      <c r="E58" s="9"/>
    </row>
    <row r="59" customFormat="false" ht="15" hidden="false" customHeight="false" outlineLevel="0" collapsed="false">
      <c r="A59" s="8" t="s">
        <v>1184</v>
      </c>
      <c r="B59" s="9" t="s">
        <v>1172</v>
      </c>
      <c r="C59" s="9" t="s">
        <v>1156</v>
      </c>
      <c r="D59" s="9" t="s">
        <v>1179</v>
      </c>
      <c r="E59" s="9"/>
    </row>
    <row r="60" customFormat="false" ht="15" hidden="false" customHeight="false" outlineLevel="0" collapsed="false">
      <c r="A60" s="8" t="s">
        <v>1185</v>
      </c>
      <c r="B60" s="9" t="s">
        <v>1165</v>
      </c>
      <c r="C60" s="9" t="s">
        <v>1085</v>
      </c>
      <c r="D60" s="9" t="s">
        <v>1186</v>
      </c>
      <c r="E60" s="9"/>
    </row>
    <row r="61" customFormat="false" ht="15" hidden="false" customHeight="false" outlineLevel="0" collapsed="false">
      <c r="A61" s="8" t="s">
        <v>1187</v>
      </c>
      <c r="B61" s="9" t="s">
        <v>1188</v>
      </c>
      <c r="C61" s="9" t="s">
        <v>1152</v>
      </c>
      <c r="D61" s="9" t="s">
        <v>1186</v>
      </c>
      <c r="E61" s="9"/>
    </row>
    <row r="62" customFormat="false" ht="15" hidden="false" customHeight="false" outlineLevel="0" collapsed="false">
      <c r="A62" s="8" t="s">
        <v>1189</v>
      </c>
      <c r="B62" s="9" t="s">
        <v>1165</v>
      </c>
      <c r="C62" s="9" t="s">
        <v>1085</v>
      </c>
      <c r="D62" s="9" t="s">
        <v>1186</v>
      </c>
      <c r="E62" s="9"/>
    </row>
    <row r="63" customFormat="false" ht="15" hidden="false" customHeight="false" outlineLevel="0" collapsed="false">
      <c r="A63" s="8" t="s">
        <v>1190</v>
      </c>
      <c r="B63" s="9" t="s">
        <v>1188</v>
      </c>
      <c r="C63" s="9" t="s">
        <v>1152</v>
      </c>
      <c r="D63" s="9" t="s">
        <v>1186</v>
      </c>
      <c r="E63" s="9"/>
    </row>
    <row r="64" customFormat="false" ht="15" hidden="false" customHeight="false" outlineLevel="0" collapsed="false">
      <c r="A64" s="8" t="s">
        <v>1191</v>
      </c>
      <c r="B64" s="9" t="s">
        <v>1192</v>
      </c>
      <c r="C64" s="9" t="s">
        <v>1193</v>
      </c>
      <c r="D64" s="9" t="s">
        <v>1194</v>
      </c>
      <c r="E64" s="9"/>
    </row>
    <row r="65" customFormat="false" ht="15" hidden="false" customHeight="false" outlineLevel="0" collapsed="false">
      <c r="A65" s="8" t="s">
        <v>1195</v>
      </c>
      <c r="B65" s="9" t="s">
        <v>1196</v>
      </c>
      <c r="C65" s="9" t="s">
        <v>1197</v>
      </c>
      <c r="D65" s="9" t="s">
        <v>1194</v>
      </c>
      <c r="E65" s="9"/>
    </row>
    <row r="66" customFormat="false" ht="15" hidden="false" customHeight="false" outlineLevel="0" collapsed="false">
      <c r="A66" s="8" t="s">
        <v>1198</v>
      </c>
      <c r="B66" s="9" t="s">
        <v>1199</v>
      </c>
      <c r="C66" s="9" t="s">
        <v>1200</v>
      </c>
      <c r="D66" s="9" t="s">
        <v>1194</v>
      </c>
      <c r="E66" s="9"/>
    </row>
    <row r="67" customFormat="false" ht="15" hidden="false" customHeight="false" outlineLevel="0" collapsed="false">
      <c r="A67" s="8" t="s">
        <v>1201</v>
      </c>
      <c r="B67" s="9" t="s">
        <v>1202</v>
      </c>
      <c r="C67" s="9" t="s">
        <v>1203</v>
      </c>
      <c r="D67" s="9" t="s">
        <v>1194</v>
      </c>
      <c r="E67" s="9"/>
    </row>
    <row r="68" customFormat="false" ht="15" hidden="false" customHeight="false" outlineLevel="0" collapsed="false">
      <c r="A68" s="8" t="s">
        <v>1204</v>
      </c>
      <c r="B68" s="9" t="s">
        <v>1205</v>
      </c>
      <c r="C68" s="9" t="s">
        <v>1206</v>
      </c>
      <c r="D68" s="9" t="s">
        <v>1207</v>
      </c>
      <c r="E68" s="9"/>
    </row>
    <row r="69" customFormat="false" ht="15" hidden="false" customHeight="false" outlineLevel="0" collapsed="false">
      <c r="A69" s="8" t="s">
        <v>1208</v>
      </c>
      <c r="B69" s="9" t="s">
        <v>1209</v>
      </c>
      <c r="C69" s="9" t="s">
        <v>1210</v>
      </c>
      <c r="D69" s="9" t="s">
        <v>1207</v>
      </c>
      <c r="E69" s="9"/>
    </row>
    <row r="70" customFormat="false" ht="15" hidden="false" customHeight="false" outlineLevel="0" collapsed="false">
      <c r="A70" s="8" t="s">
        <v>1211</v>
      </c>
      <c r="B70" s="9" t="s">
        <v>1192</v>
      </c>
      <c r="C70" s="9" t="s">
        <v>1085</v>
      </c>
      <c r="D70" s="9" t="s">
        <v>1207</v>
      </c>
      <c r="E70" s="9"/>
    </row>
    <row r="71" customFormat="false" ht="15" hidden="false" customHeight="false" outlineLevel="0" collapsed="false">
      <c r="A71" s="8" t="s">
        <v>1212</v>
      </c>
      <c r="B71" s="9" t="s">
        <v>1202</v>
      </c>
      <c r="C71" s="9" t="s">
        <v>1152</v>
      </c>
      <c r="D71" s="9" t="s">
        <v>1207</v>
      </c>
      <c r="E71" s="9"/>
    </row>
    <row r="72" customFormat="false" ht="15" hidden="false" customHeight="false" outlineLevel="0" collapsed="false">
      <c r="A72" s="8" t="s">
        <v>1213</v>
      </c>
      <c r="B72" s="9" t="s">
        <v>1214</v>
      </c>
      <c r="C72" s="9" t="s">
        <v>1215</v>
      </c>
      <c r="D72" s="9" t="s">
        <v>1216</v>
      </c>
      <c r="E72" s="9"/>
    </row>
    <row r="73" customFormat="false" ht="15" hidden="false" customHeight="false" outlineLevel="0" collapsed="false">
      <c r="A73" s="8" t="s">
        <v>1217</v>
      </c>
      <c r="B73" s="9" t="s">
        <v>1139</v>
      </c>
      <c r="C73" s="9" t="s">
        <v>1140</v>
      </c>
      <c r="D73" s="9" t="s">
        <v>1216</v>
      </c>
      <c r="E73" s="9"/>
    </row>
    <row r="74" customFormat="false" ht="15" hidden="false" customHeight="false" outlineLevel="0" collapsed="false">
      <c r="A74" s="8" t="s">
        <v>1218</v>
      </c>
      <c r="B74" s="9" t="s">
        <v>1219</v>
      </c>
      <c r="C74" s="9" t="s">
        <v>1156</v>
      </c>
      <c r="D74" s="9" t="s">
        <v>1216</v>
      </c>
      <c r="E74" s="9"/>
    </row>
    <row r="75" customFormat="false" ht="15" hidden="false" customHeight="false" outlineLevel="0" collapsed="false">
      <c r="A75" s="8" t="s">
        <v>1220</v>
      </c>
      <c r="B75" s="9" t="s">
        <v>1172</v>
      </c>
      <c r="C75" s="9" t="s">
        <v>1156</v>
      </c>
      <c r="D75" s="9" t="s">
        <v>1216</v>
      </c>
      <c r="E75" s="9"/>
    </row>
    <row r="76" customFormat="false" ht="15" hidden="false" customHeight="false" outlineLevel="0" collapsed="false">
      <c r="A76" s="8" t="s">
        <v>1221</v>
      </c>
      <c r="B76" s="9" t="s">
        <v>1222</v>
      </c>
      <c r="C76" s="9" t="s">
        <v>1223</v>
      </c>
      <c r="D76" s="9" t="s">
        <v>1224</v>
      </c>
      <c r="E76" s="9"/>
    </row>
    <row r="77" customFormat="false" ht="15" hidden="false" customHeight="false" outlineLevel="0" collapsed="false">
      <c r="A77" s="8" t="s">
        <v>1225</v>
      </c>
      <c r="B77" s="9" t="s">
        <v>1226</v>
      </c>
      <c r="C77" s="9" t="s">
        <v>1227</v>
      </c>
      <c r="D77" s="9" t="s">
        <v>1224</v>
      </c>
      <c r="E77" s="9"/>
    </row>
    <row r="78" customFormat="false" ht="15" hidden="false" customHeight="false" outlineLevel="0" collapsed="false">
      <c r="A78" s="8" t="s">
        <v>1228</v>
      </c>
      <c r="B78" s="9" t="s">
        <v>1229</v>
      </c>
      <c r="C78" s="9" t="s">
        <v>1230</v>
      </c>
      <c r="D78" s="9" t="s">
        <v>1224</v>
      </c>
      <c r="E78" s="9"/>
    </row>
    <row r="79" customFormat="false" ht="15" hidden="false" customHeight="false" outlineLevel="0" collapsed="false">
      <c r="A79" s="8" t="s">
        <v>1231</v>
      </c>
      <c r="B79" s="9" t="s">
        <v>1232</v>
      </c>
      <c r="C79" s="9" t="s">
        <v>1233</v>
      </c>
      <c r="D79" s="9" t="s">
        <v>1224</v>
      </c>
      <c r="E79" s="9"/>
    </row>
  </sheetData>
  <autoFilter ref="A3:E79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2026-10-04T19:35:18Z</dcterms:created>
  <dc:creator>openpyxl</dc:creator>
  <dc:description/>
  <dc:language>en-US</dc:language>
  <cp:lastModifiedBy/>
  <dcterms:modified xsi:type="dcterms:W3CDTF">2026-10-04T19:35:19Z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